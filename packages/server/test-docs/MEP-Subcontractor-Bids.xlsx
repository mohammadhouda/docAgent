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bcontractor Bids" sheetId="1" state="visible" r:id="rId3"/>
    <sheet name="Vendor Evalua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<sst xmlns="http://schemas.openxmlformats.org/spreadsheetml/2006/main" count="65" uniqueCount="52">
  <si>
    <t xml:space="preserve">SUBCONTRACTOR BID COMPARISON - MEP Package</t>
  </si>
  <si>
    <t xml:space="preserve">Al Nakheel Tower | Project No: ANT-2024-0087 | Bid Closing: 01-Feb-2024</t>
  </si>
  <si>
    <t xml:space="preserve">Work Package</t>
  </si>
  <si>
    <t xml:space="preserve">Bidder 1: Gulf MEP Solutions</t>
  </si>
  <si>
    <t xml:space="preserve">Bidder 2: Al Faisal Contracting</t>
  </si>
  <si>
    <t xml:space="preserve">Bidder 3: Consolidated Contractors</t>
  </si>
  <si>
    <t xml:space="preserve">Bidder 4: National MEP Co.</t>
  </si>
  <si>
    <t xml:space="preserve">Engineer's Estimate</t>
  </si>
  <si>
    <t xml:space="preserve">Recommended Bidder</t>
  </si>
  <si>
    <t xml:space="preserve">Notes</t>
  </si>
  <si>
    <t xml:space="preserve">HVAC - Chilled Water Plant</t>
  </si>
  <si>
    <t xml:space="preserve">National MEP Co.</t>
  </si>
  <si>
    <t xml:space="preserve">National MEP lowest but check capacity</t>
  </si>
  <si>
    <t xml:space="preserve">HVAC - AHU &amp; Ductwork</t>
  </si>
  <si>
    <t xml:space="preserve">Gulf MEP Solutions</t>
  </si>
  <si>
    <t xml:space="preserve">Gulf MEP has best track record</t>
  </si>
  <si>
    <t xml:space="preserve">HV Switchgear (13.8kV)</t>
  </si>
  <si>
    <t xml:space="preserve">Includes installation &amp; testing</t>
  </si>
  <si>
    <t xml:space="preserve">Transformers (4x2000kVA)</t>
  </si>
  <si>
    <t xml:space="preserve">Dry type, ABB/Schneider</t>
  </si>
  <si>
    <t xml:space="preserve">LV Distribution</t>
  </si>
  <si>
    <t xml:space="preserve">85 distribution boards</t>
  </si>
  <si>
    <t xml:space="preserve">Generators (2x2000kVA)</t>
  </si>
  <si>
    <t xml:space="preserve">Consolidated Contractors</t>
  </si>
  <si>
    <t xml:space="preserve">Cummins/Caterpillar</t>
  </si>
  <si>
    <t xml:space="preserve">Fire Sprinkler System</t>
  </si>
  <si>
    <t xml:space="preserve">NFPA 13 compliant</t>
  </si>
  <si>
    <t xml:space="preserve">Fire Pump Station</t>
  </si>
  <si>
    <t xml:space="preserve">D+E+J pumps</t>
  </si>
  <si>
    <t xml:space="preserve">Water Supply System</t>
  </si>
  <si>
    <t xml:space="preserve">Including booster pumps</t>
  </si>
  <si>
    <t xml:space="preserve">Drainage System</t>
  </si>
  <si>
    <t xml:space="preserve">With grease traps</t>
  </si>
  <si>
    <t xml:space="preserve">Elevators - High Speed (6)</t>
  </si>
  <si>
    <t xml:space="preserve">KONE/Otis/ThyssenKrupp</t>
  </si>
  <si>
    <t xml:space="preserve">Elevators - Service (3)</t>
  </si>
  <si>
    <t xml:space="preserve">Freight capability</t>
  </si>
  <si>
    <t xml:space="preserve">BMS System</t>
  </si>
  <si>
    <t xml:space="preserve">Honeywell/Siemens/Johnson</t>
  </si>
  <si>
    <t xml:space="preserve">TOTAL</t>
  </si>
  <si>
    <t xml:space="preserve">VENDOR TECHNICAL EVALUATION SCORES</t>
  </si>
  <si>
    <t xml:space="preserve">Criteria (Weight)</t>
  </si>
  <si>
    <t xml:space="preserve">Al Faisal Contracting</t>
  </si>
  <si>
    <t xml:space="preserve">Max Score</t>
  </si>
  <si>
    <t xml:space="preserve">Technical Capability (25%)</t>
  </si>
  <si>
    <t xml:space="preserve">Relevant Experience - High Rise (20%)</t>
  </si>
  <si>
    <t xml:space="preserve">Proposed Team &amp; Resources (15%)</t>
  </si>
  <si>
    <t xml:space="preserve">Methodology &amp; Program (15%)</t>
  </si>
  <si>
    <t xml:space="preserve">Financial Strength (10%)</t>
  </si>
  <si>
    <t xml:space="preserve">HSE Record (10%)</t>
  </si>
  <si>
    <t xml:space="preserve">Local Content / Saudization (5%)</t>
  </si>
  <si>
    <t xml:space="preserve">TOTAL SCORE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</si>
</sst>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496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double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22"/>
    <col collapsed="false" customWidth="true" hidden="false" outlineLevel="0" max="6" min="6" style="0" width="20"/>
    <col collapsed="false" customWidth="true" hidden="false" outlineLevel="0" max="7" min="7" style="0" width="22"/>
    <col collapsed="false" customWidth="true" hidden="false" outlineLevel="0" max="8" min="8" style="0" width="3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23.85" hidden="false" customHeight="false" outlineLevel="0" collapsed="false">
      <c r="A5" s="4" t="s">
        <v>10</v>
      </c>
      <c r="B5" s="5" t="n">
        <v>8200000</v>
      </c>
      <c r="C5" s="5" t="n">
        <v>8750000</v>
      </c>
      <c r="D5" s="5" t="n">
        <v>9100000</v>
      </c>
      <c r="E5" s="5" t="n">
        <v>7900000</v>
      </c>
      <c r="F5" s="5" t="n">
        <v>8500000</v>
      </c>
      <c r="G5" s="4" t="s">
        <v>11</v>
      </c>
      <c r="H5" s="4" t="s">
        <v>12</v>
      </c>
    </row>
    <row r="6" customFormat="false" ht="15" hidden="false" customHeight="false" outlineLevel="0" collapsed="false">
      <c r="A6" s="4" t="s">
        <v>13</v>
      </c>
      <c r="B6" s="5" t="n">
        <v>5800000</v>
      </c>
      <c r="C6" s="5" t="n">
        <v>6100000</v>
      </c>
      <c r="D6" s="5" t="n">
        <v>6500000</v>
      </c>
      <c r="E6" s="5" t="n">
        <v>6300000</v>
      </c>
      <c r="F6" s="5" t="n">
        <v>6200000</v>
      </c>
      <c r="G6" s="4" t="s">
        <v>14</v>
      </c>
      <c r="H6" s="4" t="s">
        <v>15</v>
      </c>
    </row>
    <row r="7" customFormat="false" ht="15" hidden="false" customHeight="false" outlineLevel="0" collapsed="false">
      <c r="A7" s="4" t="s">
        <v>16</v>
      </c>
      <c r="B7" s="5" t="n">
        <v>3500000</v>
      </c>
      <c r="C7" s="5" t="n">
        <v>3800000</v>
      </c>
      <c r="D7" s="5" t="n">
        <v>3650000</v>
      </c>
      <c r="E7" s="5" t="n">
        <v>3900000</v>
      </c>
      <c r="F7" s="5" t="n">
        <v>3700000</v>
      </c>
      <c r="G7" s="4" t="s">
        <v>14</v>
      </c>
      <c r="H7" s="4" t="s">
        <v>17</v>
      </c>
    </row>
    <row r="8" customFormat="false" ht="15" hidden="false" customHeight="false" outlineLevel="0" collapsed="false">
      <c r="A8" s="4" t="s">
        <v>18</v>
      </c>
      <c r="B8" s="5" t="n">
        <v>2350000</v>
      </c>
      <c r="C8" s="5" t="n">
        <v>2500000</v>
      </c>
      <c r="D8" s="5" t="n">
        <v>2400000</v>
      </c>
      <c r="E8" s="5" t="n">
        <v>2600000</v>
      </c>
      <c r="F8" s="5" t="n">
        <v>2480000</v>
      </c>
      <c r="G8" s="4" t="s">
        <v>14</v>
      </c>
      <c r="H8" s="4" t="s">
        <v>19</v>
      </c>
    </row>
    <row r="9" customFormat="false" ht="15" hidden="false" customHeight="false" outlineLevel="0" collapsed="false">
      <c r="A9" s="4" t="s">
        <v>20</v>
      </c>
      <c r="B9" s="5" t="n">
        <v>3600000</v>
      </c>
      <c r="C9" s="5" t="n">
        <v>3750000</v>
      </c>
      <c r="D9" s="5" t="n">
        <v>3900000</v>
      </c>
      <c r="E9" s="5" t="n">
        <v>4100000</v>
      </c>
      <c r="F9" s="5" t="n">
        <v>3825000</v>
      </c>
      <c r="G9" s="4" t="s">
        <v>14</v>
      </c>
      <c r="H9" s="4" t="s">
        <v>21</v>
      </c>
    </row>
    <row r="10" customFormat="false" ht="15" hidden="false" customHeight="false" outlineLevel="0" collapsed="false">
      <c r="A10" s="4" t="s">
        <v>22</v>
      </c>
      <c r="B10" s="5" t="n">
        <v>5400000</v>
      </c>
      <c r="C10" s="5" t="n">
        <v>5600000</v>
      </c>
      <c r="D10" s="5" t="n">
        <v>5300000</v>
      </c>
      <c r="E10" s="5" t="n">
        <v>5800000</v>
      </c>
      <c r="F10" s="5" t="n">
        <v>5600000</v>
      </c>
      <c r="G10" s="4" t="s">
        <v>23</v>
      </c>
      <c r="H10" s="4" t="s">
        <v>24</v>
      </c>
    </row>
    <row r="11" customFormat="false" ht="15" hidden="false" customHeight="false" outlineLevel="0" collapsed="false">
      <c r="A11" s="4" t="s">
        <v>25</v>
      </c>
      <c r="B11" s="5" t="n">
        <v>3900000</v>
      </c>
      <c r="C11" s="5" t="n">
        <v>4200000</v>
      </c>
      <c r="D11" s="5" t="n">
        <v>4100000</v>
      </c>
      <c r="E11" s="5" t="n">
        <v>4300000</v>
      </c>
      <c r="F11" s="5" t="n">
        <v>4200000</v>
      </c>
      <c r="G11" s="4" t="s">
        <v>14</v>
      </c>
      <c r="H11" s="4" t="s">
        <v>26</v>
      </c>
    </row>
    <row r="12" customFormat="false" ht="15" hidden="false" customHeight="false" outlineLevel="0" collapsed="false">
      <c r="A12" s="4" t="s">
        <v>27</v>
      </c>
      <c r="B12" s="5" t="n">
        <v>1500000</v>
      </c>
      <c r="C12" s="5" t="n">
        <v>1650000</v>
      </c>
      <c r="D12" s="5" t="n">
        <v>1600000</v>
      </c>
      <c r="E12" s="5" t="n">
        <v>1700000</v>
      </c>
      <c r="F12" s="5" t="n">
        <v>1650000</v>
      </c>
      <c r="G12" s="4" t="s">
        <v>14</v>
      </c>
      <c r="H12" s="4" t="s">
        <v>28</v>
      </c>
    </row>
    <row r="13" customFormat="false" ht="15" hidden="false" customHeight="false" outlineLevel="0" collapsed="false">
      <c r="A13" s="4" t="s">
        <v>29</v>
      </c>
      <c r="B13" s="5" t="n">
        <v>2900000</v>
      </c>
      <c r="C13" s="5" t="n">
        <v>3100000</v>
      </c>
      <c r="D13" s="5" t="n">
        <v>3200000</v>
      </c>
      <c r="E13" s="5" t="n">
        <v>3000000</v>
      </c>
      <c r="F13" s="5" t="n">
        <v>3100000</v>
      </c>
      <c r="G13" s="4" t="s">
        <v>14</v>
      </c>
      <c r="H13" s="4" t="s">
        <v>30</v>
      </c>
    </row>
    <row r="14" customFormat="false" ht="15" hidden="false" customHeight="false" outlineLevel="0" collapsed="false">
      <c r="A14" s="4" t="s">
        <v>31</v>
      </c>
      <c r="B14" s="5" t="n">
        <v>2200000</v>
      </c>
      <c r="C14" s="5" t="n">
        <v>2400000</v>
      </c>
      <c r="D14" s="5" t="n">
        <v>2300000</v>
      </c>
      <c r="E14" s="5" t="n">
        <v>2500000</v>
      </c>
      <c r="F14" s="5" t="n">
        <v>2400000</v>
      </c>
      <c r="G14" s="4" t="s">
        <v>14</v>
      </c>
      <c r="H14" s="4" t="s">
        <v>32</v>
      </c>
    </row>
    <row r="15" customFormat="false" ht="15" hidden="false" customHeight="false" outlineLevel="0" collapsed="false">
      <c r="A15" s="4" t="s">
        <v>33</v>
      </c>
      <c r="B15" s="5" t="n">
        <v>12800000</v>
      </c>
      <c r="C15" s="5" t="n">
        <v>13200000</v>
      </c>
      <c r="D15" s="5" t="n">
        <v>12500000</v>
      </c>
      <c r="E15" s="5" t="n">
        <v>13500000</v>
      </c>
      <c r="F15" s="5" t="n">
        <v>13200000</v>
      </c>
      <c r="G15" s="4" t="s">
        <v>23</v>
      </c>
      <c r="H15" s="4" t="s">
        <v>34</v>
      </c>
    </row>
    <row r="16" customFormat="false" ht="15" hidden="false" customHeight="false" outlineLevel="0" collapsed="false">
      <c r="A16" s="4" t="s">
        <v>35</v>
      </c>
      <c r="B16" s="5" t="n">
        <v>2700000</v>
      </c>
      <c r="C16" s="5" t="n">
        <v>2900000</v>
      </c>
      <c r="D16" s="5" t="n">
        <v>2800000</v>
      </c>
      <c r="E16" s="5" t="n">
        <v>3100000</v>
      </c>
      <c r="F16" s="5" t="n">
        <v>2940000</v>
      </c>
      <c r="G16" s="4" t="s">
        <v>14</v>
      </c>
      <c r="H16" s="4" t="s">
        <v>36</v>
      </c>
    </row>
    <row r="17" customFormat="false" ht="15" hidden="false" customHeight="false" outlineLevel="0" collapsed="false">
      <c r="A17" s="4" t="s">
        <v>37</v>
      </c>
      <c r="B17" s="5" t="n">
        <v>3200000</v>
      </c>
      <c r="C17" s="5" t="n">
        <v>3500000</v>
      </c>
      <c r="D17" s="5" t="n">
        <v>3400000</v>
      </c>
      <c r="E17" s="5" t="n">
        <v>3600000</v>
      </c>
      <c r="F17" s="5" t="n">
        <v>3500000</v>
      </c>
      <c r="G17" s="4" t="s">
        <v>14</v>
      </c>
      <c r="H17" s="4" t="s">
        <v>38</v>
      </c>
    </row>
    <row r="18" customFormat="false" ht="15" hidden="false" customHeight="false" outlineLevel="0" collapsed="false">
      <c r="A18" s="6" t="s">
        <v>39</v>
      </c>
      <c r="B18" s="7" t="n">
        <f aca="false">SUM(B5:B17)</f>
        <v>58050000</v>
      </c>
      <c r="C18" s="7" t="n">
        <f aca="false">SUM(C5:C17)</f>
        <v>61450000</v>
      </c>
      <c r="D18" s="7" t="n">
        <f aca="false">SUM(D5:D17)</f>
        <v>60750000</v>
      </c>
      <c r="E18" s="7" t="n">
        <f aca="false">SUM(E5:E17)</f>
        <v>62300000</v>
      </c>
      <c r="F18" s="7" t="n">
        <f aca="false">SUM(F5:F17)</f>
        <v>61295000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6" min="2" style="0" width="22"/>
  </cols>
  <sheetData>
    <row r="1" customFormat="false" ht="17.35" hidden="false" customHeight="false" outlineLevel="0" collapsed="false">
      <c r="A1" s="1" t="s">
        <v>40</v>
      </c>
      <c r="B1" s="1"/>
      <c r="C1" s="1"/>
      <c r="D1" s="1"/>
      <c r="E1" s="1"/>
      <c r="F1" s="1"/>
    </row>
    <row r="3" customFormat="false" ht="23.85" hidden="false" customHeight="false" outlineLevel="0" collapsed="false">
      <c r="A3" s="3" t="s">
        <v>41</v>
      </c>
      <c r="B3" s="3" t="s">
        <v>14</v>
      </c>
      <c r="C3" s="3" t="s">
        <v>42</v>
      </c>
      <c r="D3" s="3" t="s">
        <v>23</v>
      </c>
      <c r="E3" s="3" t="s">
        <v>11</v>
      </c>
      <c r="F3" s="3" t="s">
        <v>43</v>
      </c>
    </row>
    <row r="4" customFormat="false" ht="15" hidden="false" customHeight="false" outlineLevel="0" collapsed="false">
      <c r="A4" s="4" t="s">
        <v>44</v>
      </c>
      <c r="B4" s="4" t="n">
        <v>23</v>
      </c>
      <c r="C4" s="4" t="n">
        <v>20</v>
      </c>
      <c r="D4" s="4" t="n">
        <v>22</v>
      </c>
      <c r="E4" s="4" t="n">
        <v>18</v>
      </c>
      <c r="F4" s="4" t="n">
        <v>25</v>
      </c>
    </row>
    <row r="5" customFormat="false" ht="15" hidden="false" customHeight="false" outlineLevel="0" collapsed="false">
      <c r="A5" s="4" t="s">
        <v>45</v>
      </c>
      <c r="B5" s="4" t="n">
        <v>19</v>
      </c>
      <c r="C5" s="4" t="n">
        <v>16</v>
      </c>
      <c r="D5" s="4" t="n">
        <v>18</v>
      </c>
      <c r="E5" s="4" t="n">
        <v>14</v>
      </c>
      <c r="F5" s="4" t="n">
        <v>20</v>
      </c>
    </row>
    <row r="6" customFormat="false" ht="15" hidden="false" customHeight="false" outlineLevel="0" collapsed="false">
      <c r="A6" s="4" t="s">
        <v>46</v>
      </c>
      <c r="B6" s="4" t="n">
        <v>14</v>
      </c>
      <c r="C6" s="4" t="n">
        <v>12</v>
      </c>
      <c r="D6" s="4" t="n">
        <v>13</v>
      </c>
      <c r="E6" s="4" t="n">
        <v>11</v>
      </c>
      <c r="F6" s="4" t="n">
        <v>15</v>
      </c>
    </row>
    <row r="7" customFormat="false" ht="15" hidden="false" customHeight="false" outlineLevel="0" collapsed="false">
      <c r="A7" s="4" t="s">
        <v>47</v>
      </c>
      <c r="B7" s="4" t="n">
        <v>13</v>
      </c>
      <c r="C7" s="4" t="n">
        <v>11</v>
      </c>
      <c r="D7" s="4" t="n">
        <v>14</v>
      </c>
      <c r="E7" s="4" t="n">
        <v>10</v>
      </c>
      <c r="F7" s="4" t="n">
        <v>15</v>
      </c>
    </row>
    <row r="8" customFormat="false" ht="15" hidden="false" customHeight="false" outlineLevel="0" collapsed="false">
      <c r="A8" s="4" t="s">
        <v>48</v>
      </c>
      <c r="B8" s="4" t="n">
        <v>9</v>
      </c>
      <c r="C8" s="4" t="n">
        <v>8</v>
      </c>
      <c r="D8" s="4" t="n">
        <v>9</v>
      </c>
      <c r="E8" s="4" t="n">
        <v>7</v>
      </c>
      <c r="F8" s="4" t="n">
        <v>10</v>
      </c>
    </row>
    <row r="9" customFormat="false" ht="15" hidden="false" customHeight="false" outlineLevel="0" collapsed="false">
      <c r="A9" s="4" t="s">
        <v>49</v>
      </c>
      <c r="B9" s="4" t="n">
        <v>9</v>
      </c>
      <c r="C9" s="4" t="n">
        <v>7</v>
      </c>
      <c r="D9" s="4" t="n">
        <v>8</v>
      </c>
      <c r="E9" s="4" t="n">
        <v>6</v>
      </c>
      <c r="F9" s="4" t="n">
        <v>10</v>
      </c>
    </row>
    <row r="10" customFormat="false" ht="15" hidden="false" customHeight="false" outlineLevel="0" collapsed="false">
      <c r="A10" s="4" t="s">
        <v>50</v>
      </c>
      <c r="B10" s="4" t="n">
        <v>4</v>
      </c>
      <c r="C10" s="4" t="n">
        <v>5</v>
      </c>
      <c r="D10" s="4" t="n">
        <v>3</v>
      </c>
      <c r="E10" s="4" t="n">
        <v>5</v>
      </c>
      <c r="F10" s="4" t="n">
        <v>5</v>
      </c>
    </row>
    <row r="11" customFormat="false" ht="15" hidden="false" customHeight="false" outlineLevel="0" collapsed="false">
      <c r="A11" s="6" t="s">
        <v>51</v>
      </c>
      <c r="B11" s="8" t="n">
        <f aca="false">SUM(B4:B10)</f>
        <v>91</v>
      </c>
      <c r="C11" s="8" t="n">
        <f aca="false">SUM(C4:C10)</f>
        <v>79</v>
      </c>
      <c r="D11" s="8" t="n">
        <f aca="false">SUM(D4:D10)</f>
        <v>87</v>
      </c>
      <c r="E11" s="8" t="n">
        <f aca="false">SUM(E4:E10)</f>
        <v>71</v>
      </c>
      <c r="F11" s="8" t="n">
        <f aca="false">SUM(F4:F10)</f>
        <v>100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2026-04-27T09:53:49Z</dcterms:created>
  <dc:creator>openpyxl</dc:creator>
  <dc:description/>
  <dc:language>en-US</dc:language>
  <cp:lastModifiedBy/>
  <dcterms:modified xsi:type="dcterms:W3CDTF">2026-04-27T09:53:49Z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