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Cost_Track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<sst xmlns="http://schemas.openxmlformats.org/spreadsheetml/2006/main" count="111" uniqueCount="83">
  <si>
    <t xml:space="preserve">PROJECT SCHEDULE &amp; DELIVERABLES TRACKER</t>
  </si>
  <si>
    <t xml:space="preserve">Project: Jeddah Mall Renovation - Phase 2</t>
  </si>
  <si>
    <t xml:space="preserve">Task ID</t>
  </si>
  <si>
    <t xml:space="preserve">Phase</t>
  </si>
  <si>
    <t xml:space="preserve">Deliverable / Milestone</t>
  </si>
  <si>
    <t xml:space="preserve">Responsible Party</t>
  </si>
  <si>
    <t xml:space="preserve">Start Date</t>
  </si>
  <si>
    <t xml:space="preserve">End Date</t>
  </si>
  <si>
    <t xml:space="preserve">Duration (days)</t>
  </si>
  <si>
    <t xml:space="preserve">Status</t>
  </si>
  <si>
    <t xml:space="preserve">T-001</t>
  </si>
  <si>
    <t xml:space="preserve">Design</t>
  </si>
  <si>
    <t xml:space="preserve">Architectural drawings - final issued for construction</t>
  </si>
  <si>
    <t xml:space="preserve">Design Consultant</t>
  </si>
  <si>
    <t xml:space="preserve">Completed</t>
  </si>
  <si>
    <t xml:space="preserve">T-002</t>
  </si>
  <si>
    <t xml:space="preserve">MEP shop drawings approval</t>
  </si>
  <si>
    <t xml:space="preserve">MEP Subcontractor</t>
  </si>
  <si>
    <t xml:space="preserve">T-003</t>
  </si>
  <si>
    <t xml:space="preserve">Structural calculations sign-off</t>
  </si>
  <si>
    <t xml:space="preserve">Structural Engineer</t>
  </si>
  <si>
    <t xml:space="preserve">T-004</t>
  </si>
  <si>
    <t xml:space="preserve">Procurement</t>
  </si>
  <si>
    <t xml:space="preserve">Long-lead items - chillers and AHUs ordered</t>
  </si>
  <si>
    <t xml:space="preserve">Procurement Team</t>
  </si>
  <si>
    <t xml:space="preserve">T-005</t>
  </si>
  <si>
    <t xml:space="preserve">Marble and stone shipment delivered to site</t>
  </si>
  <si>
    <t xml:space="preserve">Logistics</t>
  </si>
  <si>
    <t xml:space="preserve">In Progress</t>
  </si>
  <si>
    <t xml:space="preserve">T-006</t>
  </si>
  <si>
    <t xml:space="preserve">Construction</t>
  </si>
  <si>
    <t xml:space="preserve">Demolition of existing finishes</t>
  </si>
  <si>
    <t xml:space="preserve">Main Contractor</t>
  </si>
  <si>
    <t xml:space="preserve">T-007</t>
  </si>
  <si>
    <t xml:space="preserve">Structural reinforcement to second floor</t>
  </si>
  <si>
    <t xml:space="preserve">T-008</t>
  </si>
  <si>
    <t xml:space="preserve">MEP first fix completion</t>
  </si>
  <si>
    <t xml:space="preserve">T-009</t>
  </si>
  <si>
    <t xml:space="preserve">Facade glazing installation</t>
  </si>
  <si>
    <t xml:space="preserve">Specialist Contractor</t>
  </si>
  <si>
    <t xml:space="preserve">Not Started</t>
  </si>
  <si>
    <t xml:space="preserve">T-010</t>
  </si>
  <si>
    <t xml:space="preserve">Internal finishes - tiling and painting</t>
  </si>
  <si>
    <t xml:space="preserve">T-011</t>
  </si>
  <si>
    <t xml:space="preserve">Joinery and fit-out works</t>
  </si>
  <si>
    <t xml:space="preserve">T-012</t>
  </si>
  <si>
    <t xml:space="preserve">Testing</t>
  </si>
  <si>
    <t xml:space="preserve">MEP commissioning and testing</t>
  </si>
  <si>
    <t xml:space="preserve">T-013</t>
  </si>
  <si>
    <t xml:space="preserve">Fire and life safety testing</t>
  </si>
  <si>
    <t xml:space="preserve">Civil Defense</t>
  </si>
  <si>
    <t xml:space="preserve">T-014</t>
  </si>
  <si>
    <t xml:space="preserve">Handover</t>
  </si>
  <si>
    <t xml:space="preserve">Snagging and defects rectification</t>
  </si>
  <si>
    <t xml:space="preserve">T-015</t>
  </si>
  <si>
    <t xml:space="preserve">Final handover and documentation</t>
  </si>
  <si>
    <t xml:space="preserve">Project Manager</t>
  </si>
  <si>
    <t xml:space="preserve">BUDGET vs ACTUAL COST TRACKING</t>
  </si>
  <si>
    <t xml:space="preserve">Cost Code</t>
  </si>
  <si>
    <t xml:space="preserve">Category</t>
  </si>
  <si>
    <t xml:space="preserve">Budget (SAR)</t>
  </si>
  <si>
    <t xml:space="preserve">Actual to Date (SAR)</t>
  </si>
  <si>
    <t xml:space="preserve">Variance (SAR)</t>
  </si>
  <si>
    <t xml:space="preserve">Variance %</t>
  </si>
  <si>
    <t xml:space="preserve">CC-100</t>
  </si>
  <si>
    <t xml:space="preserve">Design &amp; Consultancy</t>
  </si>
  <si>
    <t xml:space="preserve">CC-200</t>
  </si>
  <si>
    <t xml:space="preserve">Demolition Works</t>
  </si>
  <si>
    <t xml:space="preserve">CC-300</t>
  </si>
  <si>
    <t xml:space="preserve">Structural Works</t>
  </si>
  <si>
    <t xml:space="preserve">CC-400</t>
  </si>
  <si>
    <t xml:space="preserve">MEP Installation</t>
  </si>
  <si>
    <t xml:space="preserve">CC-500</t>
  </si>
  <si>
    <t xml:space="preserve">Facade &amp; Glazing</t>
  </si>
  <si>
    <t xml:space="preserve">CC-600</t>
  </si>
  <si>
    <t xml:space="preserve">Internal Finishes</t>
  </si>
  <si>
    <t xml:space="preserve">CC-700</t>
  </si>
  <si>
    <t xml:space="preserve">Joinery &amp; Fit-out</t>
  </si>
  <si>
    <t xml:space="preserve">CC-800</t>
  </si>
  <si>
    <t xml:space="preserve">Testing &amp; Commissioning</t>
  </si>
  <si>
    <t xml:space="preserve">CC-900</t>
  </si>
  <si>
    <t xml:space="preserve">Project Management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</si>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</sst>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C8E6C9"/>
        <bgColor rgb="FFCCFFFF"/>
      </patternFill>
    </fill>
    <fill>
      <patternFill patternType="solid">
        <fgColor rgb="FFFFF9C4"/>
        <bgColor rgb="FFFFFFFF"/>
      </patternFill>
    </fill>
    <fill>
      <patternFill patternType="solid">
        <fgColor rgb="FFFFCDD2"/>
        <bgColor rgb="FFFFE699"/>
      </patternFill>
    </fill>
    <fill>
      <patternFill patternType="solid">
        <fgColor rgb="FFFFE699"/>
        <bgColor rgb="FFFFF9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E6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7" min="5" style="0" width="12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5" t="n">
        <v>45717</v>
      </c>
      <c r="F5" s="5" t="n">
        <v>45762</v>
      </c>
      <c r="G5" s="4" t="n">
        <f aca="false">F5-E5</f>
        <v>45</v>
      </c>
      <c r="H5" s="6" t="s">
        <v>14</v>
      </c>
    </row>
    <row r="6" customFormat="false" ht="15" hidden="false" customHeight="false" outlineLevel="0" collapsed="false">
      <c r="A6" s="4" t="s">
        <v>15</v>
      </c>
      <c r="B6" s="4" t="s">
        <v>11</v>
      </c>
      <c r="C6" s="4" t="s">
        <v>16</v>
      </c>
      <c r="D6" s="4" t="s">
        <v>17</v>
      </c>
      <c r="E6" s="5" t="n">
        <v>45748</v>
      </c>
      <c r="F6" s="5" t="n">
        <v>45787</v>
      </c>
      <c r="G6" s="4" t="n">
        <f aca="false">F6-E6</f>
        <v>39</v>
      </c>
      <c r="H6" s="6" t="s">
        <v>14</v>
      </c>
    </row>
    <row r="7" customFormat="false" ht="15" hidden="false" customHeight="false" outlineLevel="0" collapsed="false">
      <c r="A7" s="4" t="s">
        <v>18</v>
      </c>
      <c r="B7" s="4" t="s">
        <v>11</v>
      </c>
      <c r="C7" s="4" t="s">
        <v>19</v>
      </c>
      <c r="D7" s="4" t="s">
        <v>20</v>
      </c>
      <c r="E7" s="5" t="n">
        <v>45731</v>
      </c>
      <c r="F7" s="5" t="n">
        <v>45777</v>
      </c>
      <c r="G7" s="4" t="n">
        <f aca="false">F7-E7</f>
        <v>46</v>
      </c>
      <c r="H7" s="6" t="s">
        <v>14</v>
      </c>
    </row>
    <row r="8" customFormat="false" ht="15" hidden="false" customHeight="false" outlineLevel="0" collapsed="false">
      <c r="A8" s="4" t="s">
        <v>21</v>
      </c>
      <c r="B8" s="4" t="s">
        <v>22</v>
      </c>
      <c r="C8" s="4" t="s">
        <v>23</v>
      </c>
      <c r="D8" s="4" t="s">
        <v>24</v>
      </c>
      <c r="E8" s="5" t="n">
        <v>45767</v>
      </c>
      <c r="F8" s="5" t="n">
        <v>45838</v>
      </c>
      <c r="G8" s="4" t="n">
        <f aca="false">F8-E8</f>
        <v>71</v>
      </c>
      <c r="H8" s="6" t="s">
        <v>14</v>
      </c>
    </row>
    <row r="9" customFormat="false" ht="15" hidden="false" customHeight="false" outlineLevel="0" collapsed="false">
      <c r="A9" s="4" t="s">
        <v>25</v>
      </c>
      <c r="B9" s="4" t="s">
        <v>22</v>
      </c>
      <c r="C9" s="4" t="s">
        <v>26</v>
      </c>
      <c r="D9" s="4" t="s">
        <v>27</v>
      </c>
      <c r="E9" s="5" t="n">
        <v>45792</v>
      </c>
      <c r="F9" s="5" t="n">
        <v>45889</v>
      </c>
      <c r="G9" s="4" t="n">
        <f aca="false">F9-E9</f>
        <v>97</v>
      </c>
      <c r="H9" s="7" t="s">
        <v>28</v>
      </c>
    </row>
    <row r="10" customFormat="false" ht="15" hidden="false" customHeight="false" outlineLevel="0" collapsed="false">
      <c r="A10" s="4" t="s">
        <v>29</v>
      </c>
      <c r="B10" s="4" t="s">
        <v>30</v>
      </c>
      <c r="C10" s="4" t="s">
        <v>31</v>
      </c>
      <c r="D10" s="4" t="s">
        <v>32</v>
      </c>
      <c r="E10" s="5" t="n">
        <v>45778</v>
      </c>
      <c r="F10" s="5" t="n">
        <v>45823</v>
      </c>
      <c r="G10" s="4" t="n">
        <f aca="false">F10-E10</f>
        <v>45</v>
      </c>
      <c r="H10" s="6" t="s">
        <v>14</v>
      </c>
    </row>
    <row r="11" customFormat="false" ht="15" hidden="false" customHeight="false" outlineLevel="0" collapsed="false">
      <c r="A11" s="4" t="s">
        <v>33</v>
      </c>
      <c r="B11" s="4" t="s">
        <v>30</v>
      </c>
      <c r="C11" s="4" t="s">
        <v>34</v>
      </c>
      <c r="D11" s="4" t="s">
        <v>32</v>
      </c>
      <c r="E11" s="5" t="n">
        <v>45809</v>
      </c>
      <c r="F11" s="5" t="n">
        <v>45899</v>
      </c>
      <c r="G11" s="4" t="n">
        <f aca="false">F11-E11</f>
        <v>90</v>
      </c>
      <c r="H11" s="7" t="s">
        <v>28</v>
      </c>
    </row>
    <row r="12" customFormat="false" ht="15" hidden="false" customHeight="false" outlineLevel="0" collapsed="false">
      <c r="A12" s="4" t="s">
        <v>35</v>
      </c>
      <c r="B12" s="4" t="s">
        <v>30</v>
      </c>
      <c r="C12" s="4" t="s">
        <v>36</v>
      </c>
      <c r="D12" s="4" t="s">
        <v>17</v>
      </c>
      <c r="E12" s="5" t="n">
        <v>45853</v>
      </c>
      <c r="F12" s="5" t="n">
        <v>45960</v>
      </c>
      <c r="G12" s="4" t="n">
        <f aca="false">F12-E12</f>
        <v>107</v>
      </c>
      <c r="H12" s="7" t="s">
        <v>28</v>
      </c>
    </row>
    <row r="13" customFormat="false" ht="15" hidden="false" customHeight="false" outlineLevel="0" collapsed="false">
      <c r="A13" s="4" t="s">
        <v>37</v>
      </c>
      <c r="B13" s="4" t="s">
        <v>30</v>
      </c>
      <c r="C13" s="4" t="s">
        <v>38</v>
      </c>
      <c r="D13" s="4" t="s">
        <v>39</v>
      </c>
      <c r="E13" s="5" t="n">
        <v>45901</v>
      </c>
      <c r="F13" s="5" t="n">
        <v>46006</v>
      </c>
      <c r="G13" s="4" t="n">
        <f aca="false">F13-E13</f>
        <v>105</v>
      </c>
      <c r="H13" s="8" t="s">
        <v>40</v>
      </c>
    </row>
    <row r="14" customFormat="false" ht="15" hidden="false" customHeight="false" outlineLevel="0" collapsed="false">
      <c r="A14" s="4" t="s">
        <v>41</v>
      </c>
      <c r="B14" s="4" t="s">
        <v>30</v>
      </c>
      <c r="C14" s="4" t="s">
        <v>42</v>
      </c>
      <c r="D14" s="4" t="s">
        <v>32</v>
      </c>
      <c r="E14" s="5" t="n">
        <v>45962</v>
      </c>
      <c r="F14" s="5" t="n">
        <v>46081</v>
      </c>
      <c r="G14" s="4" t="n">
        <f aca="false">F14-E14</f>
        <v>119</v>
      </c>
      <c r="H14" s="8" t="s">
        <v>40</v>
      </c>
    </row>
    <row r="15" customFormat="false" ht="15" hidden="false" customHeight="false" outlineLevel="0" collapsed="false">
      <c r="A15" s="4" t="s">
        <v>43</v>
      </c>
      <c r="B15" s="4" t="s">
        <v>30</v>
      </c>
      <c r="C15" s="4" t="s">
        <v>44</v>
      </c>
      <c r="D15" s="4" t="s">
        <v>39</v>
      </c>
      <c r="E15" s="5" t="n">
        <v>45992</v>
      </c>
      <c r="F15" s="5" t="n">
        <v>46111</v>
      </c>
      <c r="G15" s="4" t="n">
        <f aca="false">F15-E15</f>
        <v>119</v>
      </c>
      <c r="H15" s="8" t="s">
        <v>40</v>
      </c>
    </row>
    <row r="16" customFormat="false" ht="15" hidden="false" customHeight="false" outlineLevel="0" collapsed="false">
      <c r="A16" s="4" t="s">
        <v>45</v>
      </c>
      <c r="B16" s="4" t="s">
        <v>46</v>
      </c>
      <c r="C16" s="4" t="s">
        <v>47</v>
      </c>
      <c r="D16" s="4" t="s">
        <v>17</v>
      </c>
      <c r="E16" s="5" t="n">
        <v>46054</v>
      </c>
      <c r="F16" s="5" t="n">
        <v>46127</v>
      </c>
      <c r="G16" s="4" t="n">
        <f aca="false">F16-E16</f>
        <v>73</v>
      </c>
      <c r="H16" s="8" t="s">
        <v>40</v>
      </c>
    </row>
    <row r="17" customFormat="false" ht="15" hidden="false" customHeight="false" outlineLevel="0" collapsed="false">
      <c r="A17" s="4" t="s">
        <v>48</v>
      </c>
      <c r="B17" s="4" t="s">
        <v>46</v>
      </c>
      <c r="C17" s="4" t="s">
        <v>49</v>
      </c>
      <c r="D17" s="4" t="s">
        <v>50</v>
      </c>
      <c r="E17" s="5" t="n">
        <v>46096</v>
      </c>
      <c r="F17" s="5" t="n">
        <v>46142</v>
      </c>
      <c r="G17" s="4" t="n">
        <f aca="false">F17-E17</f>
        <v>46</v>
      </c>
      <c r="H17" s="8" t="s">
        <v>40</v>
      </c>
    </row>
    <row r="18" customFormat="false" ht="15" hidden="false" customHeight="false" outlineLevel="0" collapsed="false">
      <c r="A18" s="4" t="s">
        <v>51</v>
      </c>
      <c r="B18" s="4" t="s">
        <v>52</v>
      </c>
      <c r="C18" s="4" t="s">
        <v>53</v>
      </c>
      <c r="D18" s="4" t="s">
        <v>32</v>
      </c>
      <c r="E18" s="5" t="n">
        <v>46113</v>
      </c>
      <c r="F18" s="5" t="n">
        <v>46157</v>
      </c>
      <c r="G18" s="4" t="n">
        <f aca="false">F18-E18</f>
        <v>44</v>
      </c>
      <c r="H18" s="8" t="s">
        <v>40</v>
      </c>
    </row>
    <row r="19" customFormat="false" ht="15" hidden="false" customHeight="false" outlineLevel="0" collapsed="false">
      <c r="A19" s="4" t="s">
        <v>54</v>
      </c>
      <c r="B19" s="4" t="s">
        <v>52</v>
      </c>
      <c r="C19" s="4" t="s">
        <v>55</v>
      </c>
      <c r="D19" s="4" t="s">
        <v>56</v>
      </c>
      <c r="E19" s="5" t="n">
        <v>46143</v>
      </c>
      <c r="F19" s="5" t="n">
        <v>46172</v>
      </c>
      <c r="G19" s="4" t="n">
        <f aca="false">F19-E19</f>
        <v>29</v>
      </c>
      <c r="H19" s="8" t="s">
        <v>40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9" t="s">
        <v>57</v>
      </c>
      <c r="B1" s="9"/>
      <c r="C1" s="9"/>
      <c r="D1" s="9"/>
      <c r="E1" s="9"/>
      <c r="F1" s="9"/>
    </row>
    <row r="3" customFormat="false" ht="27.75" hidden="false" customHeight="true" outlineLevel="0" collapsed="false">
      <c r="A3" s="10" t="s">
        <v>58</v>
      </c>
      <c r="B3" s="10" t="s">
        <v>59</v>
      </c>
      <c r="C3" s="10" t="s">
        <v>60</v>
      </c>
      <c r="D3" s="10" t="s">
        <v>61</v>
      </c>
      <c r="E3" s="10" t="s">
        <v>62</v>
      </c>
      <c r="F3" s="10" t="s">
        <v>63</v>
      </c>
    </row>
    <row r="4" customFormat="false" ht="15" hidden="false" customHeight="false" outlineLevel="0" collapsed="false">
      <c r="A4" s="4" t="s">
        <v>64</v>
      </c>
      <c r="B4" s="4" t="s">
        <v>65</v>
      </c>
      <c r="C4" s="11" t="n">
        <v>1850000</v>
      </c>
      <c r="D4" s="11" t="n">
        <v>1920000</v>
      </c>
      <c r="E4" s="11" t="n">
        <f aca="false">C4-D4</f>
        <v>-70000</v>
      </c>
      <c r="F4" s="12" t="n">
        <f aca="false">IF(C4=0,0,(C4-D4)/C4)</f>
        <v>-0.0378378378378378</v>
      </c>
    </row>
    <row r="5" customFormat="false" ht="15" hidden="false" customHeight="false" outlineLevel="0" collapsed="false">
      <c r="A5" s="4" t="s">
        <v>66</v>
      </c>
      <c r="B5" s="4" t="s">
        <v>67</v>
      </c>
      <c r="C5" s="11" t="n">
        <v>2400000</v>
      </c>
      <c r="D5" s="11" t="n">
        <v>2350000</v>
      </c>
      <c r="E5" s="11" t="n">
        <f aca="false">C5-D5</f>
        <v>50000</v>
      </c>
      <c r="F5" s="12" t="n">
        <f aca="false">IF(C5=0,0,(C5-D5)/C5)</f>
        <v>0.0208333333333333</v>
      </c>
    </row>
    <row r="6" customFormat="false" ht="15" hidden="false" customHeight="false" outlineLevel="0" collapsed="false">
      <c r="A6" s="4" t="s">
        <v>68</v>
      </c>
      <c r="B6" s="4" t="s">
        <v>69</v>
      </c>
      <c r="C6" s="11" t="n">
        <v>8500000</v>
      </c>
      <c r="D6" s="11" t="n">
        <v>6200000</v>
      </c>
      <c r="E6" s="11" t="n">
        <f aca="false">C6-D6</f>
        <v>2300000</v>
      </c>
      <c r="F6" s="12" t="n">
        <f aca="false">IF(C6=0,0,(C6-D6)/C6)</f>
        <v>0.270588235294118</v>
      </c>
    </row>
    <row r="7" customFormat="false" ht="15" hidden="false" customHeight="false" outlineLevel="0" collapsed="false">
      <c r="A7" s="4" t="s">
        <v>70</v>
      </c>
      <c r="B7" s="4" t="s">
        <v>71</v>
      </c>
      <c r="C7" s="11" t="n">
        <v>14750000</v>
      </c>
      <c r="D7" s="11" t="n">
        <v>9850000</v>
      </c>
      <c r="E7" s="11" t="n">
        <f aca="false">C7-D7</f>
        <v>4900000</v>
      </c>
      <c r="F7" s="12" t="n">
        <f aca="false">IF(C7=0,0,(C7-D7)/C7)</f>
        <v>0.332203389830508</v>
      </c>
    </row>
    <row r="8" customFormat="false" ht="15" hidden="false" customHeight="false" outlineLevel="0" collapsed="false">
      <c r="A8" s="4" t="s">
        <v>72</v>
      </c>
      <c r="B8" s="4" t="s">
        <v>73</v>
      </c>
      <c r="C8" s="11" t="n">
        <v>6800000</v>
      </c>
      <c r="D8" s="11" t="n">
        <v>0</v>
      </c>
      <c r="E8" s="11" t="n">
        <f aca="false">C8-D8</f>
        <v>6800000</v>
      </c>
      <c r="F8" s="12" t="n">
        <f aca="false">IF(C8=0,0,(C8-D8)/C8)</f>
        <v>1</v>
      </c>
    </row>
    <row r="9" customFormat="false" ht="15" hidden="false" customHeight="false" outlineLevel="0" collapsed="false">
      <c r="A9" s="4" t="s">
        <v>74</v>
      </c>
      <c r="B9" s="4" t="s">
        <v>75</v>
      </c>
      <c r="C9" s="11" t="n">
        <v>9200000</v>
      </c>
      <c r="D9" s="11" t="n">
        <v>0</v>
      </c>
      <c r="E9" s="11" t="n">
        <f aca="false">C9-D9</f>
        <v>9200000</v>
      </c>
      <c r="F9" s="12" t="n">
        <f aca="false">IF(C9=0,0,(C9-D9)/C9)</f>
        <v>1</v>
      </c>
    </row>
    <row r="10" customFormat="false" ht="15" hidden="false" customHeight="false" outlineLevel="0" collapsed="false">
      <c r="A10" s="4" t="s">
        <v>76</v>
      </c>
      <c r="B10" s="4" t="s">
        <v>77</v>
      </c>
      <c r="C10" s="11" t="n">
        <v>4650000</v>
      </c>
      <c r="D10" s="11" t="n">
        <v>0</v>
      </c>
      <c r="E10" s="11" t="n">
        <f aca="false">C10-D10</f>
        <v>4650000</v>
      </c>
      <c r="F10" s="12" t="n">
        <f aca="false">IF(C10=0,0,(C10-D10)/C10)</f>
        <v>1</v>
      </c>
    </row>
    <row r="11" customFormat="false" ht="15" hidden="false" customHeight="false" outlineLevel="0" collapsed="false">
      <c r="A11" s="4" t="s">
        <v>78</v>
      </c>
      <c r="B11" s="4" t="s">
        <v>79</v>
      </c>
      <c r="C11" s="11" t="n">
        <v>850000</v>
      </c>
      <c r="D11" s="11" t="n">
        <v>0</v>
      </c>
      <c r="E11" s="11" t="n">
        <f aca="false">C11-D11</f>
        <v>850000</v>
      </c>
      <c r="F11" s="12" t="n">
        <f aca="false">IF(C11=0,0,(C11-D11)/C11)</f>
        <v>1</v>
      </c>
    </row>
    <row r="12" customFormat="false" ht="15" hidden="false" customHeight="false" outlineLevel="0" collapsed="false">
      <c r="A12" s="4" t="s">
        <v>80</v>
      </c>
      <c r="B12" s="4" t="s">
        <v>81</v>
      </c>
      <c r="C12" s="11" t="n">
        <v>2100000</v>
      </c>
      <c r="D12" s="11" t="n">
        <v>1240000</v>
      </c>
      <c r="E12" s="11" t="n">
        <f aca="false">C12-D12</f>
        <v>860000</v>
      </c>
      <c r="F12" s="12" t="n">
        <f aca="false">IF(C12=0,0,(C12-D12)/C12)</f>
        <v>0.40952380952381</v>
      </c>
    </row>
    <row r="13" customFormat="false" ht="15" hidden="false" customHeight="false" outlineLevel="0" collapsed="false">
      <c r="A13" s="13" t="s">
        <v>82</v>
      </c>
      <c r="C13" s="14" t="n">
        <f aca="false">SUM(C4:C12)</f>
        <v>51100000</v>
      </c>
      <c r="D13" s="14" t="n">
        <f aca="false">SUM(D4:D12)</f>
        <v>21560000</v>
      </c>
      <c r="E13" s="14" t="n">
        <f aca="false">SUM(E4:E12)</f>
        <v>29540000</v>
      </c>
      <c r="F13" s="15" t="n">
        <f aca="false">IF(C13=0,0,(C13-D13)/C13)</f>
        <v>0.578082191780822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2026-04-29T17:38:40Z</dcterms:created>
  <dc:creator>openpyxl</dc:creator>
  <dc:description/>
  <dc:language>en-US</dc:language>
  <cp:lastModifiedBy/>
  <dcterms:modified xsi:type="dcterms:W3CDTF">2026-04-29T17:38:40Z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