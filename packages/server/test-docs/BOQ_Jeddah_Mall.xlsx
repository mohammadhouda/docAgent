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<sst xmlns="http://schemas.openxmlformats.org/spreadsheetml/2006/main" count="144" uniqueCount="89">
  <si>
    <t xml:space="preserve">PROJECT: Jeddah Waterfront Mall - Phase 2</t>
  </si>
  <si>
    <t xml:space="preserve">EMPLOYER: Red Sea Development Authority</t>
  </si>
  <si>
    <t xml:space="preserve">MAIN CONTRACTOR: Hijaz Engineering &amp; Contracting Ltd.</t>
  </si>
  <si>
    <t xml:space="preserve">TENDER REFERENCE: RSDA-2024-JWM-007</t>
  </si>
  <si>
    <t xml:space="preserve">DATE ISSUED: 22 January 2024</t>
  </si>
  <si>
    <t xml:space="preserve">CURRENCY: Saudi Riyal (SAR)</t>
  </si>
  <si>
    <t xml:space="preserve">SUBMISSION DEADLINE: 15 February 2024</t>
  </si>
  <si>
    <t xml:space="preserve">Code</t>
  </si>
  <si>
    <t xml:space="preserve">Description</t>
  </si>
  <si>
    <t xml:space="preserve">Unit</t>
  </si>
  <si>
    <t xml:space="preserve">Quantity</t>
  </si>
  <si>
    <t xml:space="preserve">Rate (SAR)</t>
  </si>
  <si>
    <t xml:space="preserve">Amount (SAR)</t>
  </si>
  <si>
    <t xml:space="preserve">Trade</t>
  </si>
  <si>
    <t xml:space="preserve">CW-001</t>
  </si>
  <si>
    <t xml:space="preserve">Bulk excavation including disposal</t>
  </si>
  <si>
    <t xml:space="preserve">m3</t>
  </si>
  <si>
    <t xml:space="preserve">Civil Works</t>
  </si>
  <si>
    <t xml:space="preserve">CW-002</t>
  </si>
  <si>
    <t xml:space="preserve">Pile foundations - bored 800mm dia x 25m deep</t>
  </si>
  <si>
    <t xml:space="preserve">no.</t>
  </si>
  <si>
    <t xml:space="preserve">CW-003</t>
  </si>
  <si>
    <t xml:space="preserve">Pile cap concrete C40</t>
  </si>
  <si>
    <t xml:space="preserve">CW-004</t>
  </si>
  <si>
    <t xml:space="preserve">Ground beam concrete C35</t>
  </si>
  <si>
    <t xml:space="preserve">CW-005</t>
  </si>
  <si>
    <t xml:space="preserve">Suspended slab concrete C35</t>
  </si>
  <si>
    <t xml:space="preserve">CW-006</t>
  </si>
  <si>
    <t xml:space="preserve">Reinforcement steel grade 460</t>
  </si>
  <si>
    <t xml:space="preserve">ton</t>
  </si>
  <si>
    <t xml:space="preserve">CW-007</t>
  </si>
  <si>
    <t xml:space="preserve">Formwork and falsework</t>
  </si>
  <si>
    <t xml:space="preserve">m2</t>
  </si>
  <si>
    <t xml:space="preserve">CW-008</t>
  </si>
  <si>
    <t xml:space="preserve">Waterproofing to basement and roof</t>
  </si>
  <si>
    <t xml:space="preserve">MEP-001</t>
  </si>
  <si>
    <t xml:space="preserve">Central chiller plant (4 x 1000 TR)</t>
  </si>
  <si>
    <t xml:space="preserve">lot</t>
  </si>
  <si>
    <t xml:space="preserve">MEP Works</t>
  </si>
  <si>
    <t xml:space="preserve">MEP-002</t>
  </si>
  <si>
    <t xml:space="preserve">Chilled water pumping station</t>
  </si>
  <si>
    <t xml:space="preserve">MEP-003</t>
  </si>
  <si>
    <t xml:space="preserve">Ductwork - galvanized steel</t>
  </si>
  <si>
    <t xml:space="preserve">kg</t>
  </si>
  <si>
    <t xml:space="preserve">MEP-004</t>
  </si>
  <si>
    <t xml:space="preserve">BMS controls and integration</t>
  </si>
  <si>
    <t xml:space="preserve">MEP-005</t>
  </si>
  <si>
    <t xml:space="preserve">Main LV panel boards</t>
  </si>
  <si>
    <t xml:space="preserve">MEP-006</t>
  </si>
  <si>
    <t xml:space="preserve">Cable trays and ladder racks</t>
  </si>
  <si>
    <t xml:space="preserve">lm</t>
  </si>
  <si>
    <t xml:space="preserve">MEP-007</t>
  </si>
  <si>
    <t xml:space="preserve">Power and lighting distribution cables</t>
  </si>
  <si>
    <t xml:space="preserve">MEP-008</t>
  </si>
  <si>
    <t xml:space="preserve">Plumbing and drainage installation</t>
  </si>
  <si>
    <t xml:space="preserve">MEP-009</t>
  </si>
  <si>
    <t xml:space="preserve">Fire alarm and detection system</t>
  </si>
  <si>
    <t xml:space="preserve">ARCH-001</t>
  </si>
  <si>
    <t xml:space="preserve">External glass facade - structural glazing</t>
  </si>
  <si>
    <t xml:space="preserve">Architectural</t>
  </si>
  <si>
    <t xml:space="preserve">ARCH-002</t>
  </si>
  <si>
    <t xml:space="preserve">Roof skylights with motorized blinds</t>
  </si>
  <si>
    <t xml:space="preserve">ARCH-003</t>
  </si>
  <si>
    <t xml:space="preserve">Internal partitions and dry walls</t>
  </si>
  <si>
    <t xml:space="preserve">ARCH-004</t>
  </si>
  <si>
    <t xml:space="preserve">Ceramic and porcelain floor tiles</t>
  </si>
  <si>
    <t xml:space="preserve">ARCH-005</t>
  </si>
  <si>
    <t xml:space="preserve">Suspended ceiling - mineral fibre</t>
  </si>
  <si>
    <t xml:space="preserve">ARCH-006</t>
  </si>
  <si>
    <t xml:space="preserve">Painting and decoration works</t>
  </si>
  <si>
    <t xml:space="preserve">ARCH-007</t>
  </si>
  <si>
    <t xml:space="preserve">Doors - timber and aluminum</t>
  </si>
  <si>
    <t xml:space="preserve">ARCH-008</t>
  </si>
  <si>
    <t xml:space="preserve">Sanitary fixtures and fittings</t>
  </si>
  <si>
    <t xml:space="preserve">EXT-001</t>
  </si>
  <si>
    <t xml:space="preserve">Hard landscape paving and walkways</t>
  </si>
  <si>
    <t xml:space="preserve">External Works</t>
  </si>
  <si>
    <t xml:space="preserve">EXT-002</t>
  </si>
  <si>
    <t xml:space="preserve">Soft landscape and irrigation</t>
  </si>
  <si>
    <t xml:space="preserve">EXT-003</t>
  </si>
  <si>
    <t xml:space="preserve">Parking deck construction</t>
  </si>
  <si>
    <t xml:space="preserve">EXT-004</t>
  </si>
  <si>
    <t xml:space="preserve">External lighting and bollards</t>
  </si>
  <si>
    <t xml:space="preserve">EXT-005</t>
  </si>
  <si>
    <t xml:space="preserve">Waterfront promenade with timber decking</t>
  </si>
  <si>
    <t xml:space="preserve">GRAND TOTAL</t>
  </si>
  <si>
    <t xml:space="preserve">Note: All rates exclude VAT. See Summary sheet for breakdown by trade.</t>
  </si>
  <si>
    <t xml:space="preserve">BREAKDOWN BY TRADE</t>
  </si>
  <si>
    <t xml:space="preserve">Subtotal (SAR)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</si>
</sst>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0F8FF"/>
        <bgColor rgb="FFFFFFFF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F0F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8FF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9" customFormat="false" ht="15" hidden="false" customHeight="false" outlineLevel="0" collapsed="false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customFormat="false" ht="15" hidden="false" customHeight="false" outlineLevel="0" collapsed="false">
      <c r="A10" s="3" t="s">
        <v>14</v>
      </c>
      <c r="B10" s="3" t="s">
        <v>15</v>
      </c>
      <c r="C10" s="3" t="s">
        <v>16</v>
      </c>
      <c r="D10" s="4" t="n">
        <v>22000</v>
      </c>
      <c r="E10" s="5" t="n">
        <v>75</v>
      </c>
      <c r="F10" s="5" t="n">
        <f aca="false">D10*E10</f>
        <v>1650000</v>
      </c>
      <c r="G10" s="3" t="s">
        <v>17</v>
      </c>
    </row>
    <row r="11" customFormat="false" ht="15" hidden="false" customHeight="false" outlineLevel="0" collapsed="false">
      <c r="A11" s="6" t="s">
        <v>18</v>
      </c>
      <c r="B11" s="6" t="s">
        <v>19</v>
      </c>
      <c r="C11" s="6" t="s">
        <v>20</v>
      </c>
      <c r="D11" s="7" t="n">
        <v>185</v>
      </c>
      <c r="E11" s="8" t="n">
        <v>28500</v>
      </c>
      <c r="F11" s="8" t="n">
        <f aca="false">D11*E11</f>
        <v>5272500</v>
      </c>
      <c r="G11" s="6" t="s">
        <v>17</v>
      </c>
    </row>
    <row r="12" customFormat="false" ht="15" hidden="false" customHeight="false" outlineLevel="0" collapsed="false">
      <c r="A12" s="6" t="s">
        <v>21</v>
      </c>
      <c r="B12" s="6" t="s">
        <v>22</v>
      </c>
      <c r="C12" s="6" t="s">
        <v>16</v>
      </c>
      <c r="D12" s="7" t="n">
        <v>850</v>
      </c>
      <c r="E12" s="8" t="n">
        <v>1100</v>
      </c>
      <c r="F12" s="8" t="n">
        <f aca="false">D12*E12</f>
        <v>935000</v>
      </c>
      <c r="G12" s="6" t="s">
        <v>17</v>
      </c>
    </row>
    <row r="13" customFormat="false" ht="15" hidden="false" customHeight="false" outlineLevel="0" collapsed="false">
      <c r="A13" s="6" t="s">
        <v>23</v>
      </c>
      <c r="B13" s="6" t="s">
        <v>24</v>
      </c>
      <c r="C13" s="6" t="s">
        <v>16</v>
      </c>
      <c r="D13" s="7" t="n">
        <v>1250</v>
      </c>
      <c r="E13" s="8" t="n">
        <v>950</v>
      </c>
      <c r="F13" s="8" t="n">
        <f aca="false">D13*E13</f>
        <v>1187500</v>
      </c>
      <c r="G13" s="6" t="s">
        <v>17</v>
      </c>
    </row>
    <row r="14" customFormat="false" ht="15" hidden="false" customHeight="false" outlineLevel="0" collapsed="false">
      <c r="A14" s="6" t="s">
        <v>25</v>
      </c>
      <c r="B14" s="6" t="s">
        <v>26</v>
      </c>
      <c r="C14" s="6" t="s">
        <v>16</v>
      </c>
      <c r="D14" s="7" t="n">
        <v>8500</v>
      </c>
      <c r="E14" s="8" t="n">
        <v>880</v>
      </c>
      <c r="F14" s="8" t="n">
        <f aca="false">D14*E14</f>
        <v>7480000</v>
      </c>
      <c r="G14" s="6" t="s">
        <v>17</v>
      </c>
    </row>
    <row r="15" customFormat="false" ht="15" hidden="false" customHeight="false" outlineLevel="0" collapsed="false">
      <c r="A15" s="6" t="s">
        <v>27</v>
      </c>
      <c r="B15" s="6" t="s">
        <v>28</v>
      </c>
      <c r="C15" s="6" t="s">
        <v>29</v>
      </c>
      <c r="D15" s="7" t="n">
        <v>2400</v>
      </c>
      <c r="E15" s="8" t="n">
        <v>3450</v>
      </c>
      <c r="F15" s="8" t="n">
        <f aca="false">D15*E15</f>
        <v>8280000</v>
      </c>
      <c r="G15" s="6" t="s">
        <v>17</v>
      </c>
    </row>
    <row r="16" customFormat="false" ht="15" hidden="false" customHeight="false" outlineLevel="0" collapsed="false">
      <c r="A16" s="6" t="s">
        <v>30</v>
      </c>
      <c r="B16" s="6" t="s">
        <v>31</v>
      </c>
      <c r="C16" s="6" t="s">
        <v>32</v>
      </c>
      <c r="D16" s="7" t="n">
        <v>35000</v>
      </c>
      <c r="E16" s="8" t="n">
        <v>165</v>
      </c>
      <c r="F16" s="8" t="n">
        <f aca="false">D16*E16</f>
        <v>5775000</v>
      </c>
      <c r="G16" s="6" t="s">
        <v>17</v>
      </c>
    </row>
    <row r="17" customFormat="false" ht="15" hidden="false" customHeight="false" outlineLevel="0" collapsed="false">
      <c r="A17" s="6" t="s">
        <v>33</v>
      </c>
      <c r="B17" s="6" t="s">
        <v>34</v>
      </c>
      <c r="C17" s="6" t="s">
        <v>32</v>
      </c>
      <c r="D17" s="7" t="n">
        <v>12000</v>
      </c>
      <c r="E17" s="8" t="n">
        <v>285</v>
      </c>
      <c r="F17" s="8" t="n">
        <f aca="false">D17*E17</f>
        <v>3420000</v>
      </c>
      <c r="G17" s="6" t="s">
        <v>17</v>
      </c>
    </row>
    <row r="18" customFormat="false" ht="15" hidden="false" customHeight="false" outlineLevel="0" collapsed="false">
      <c r="A18" s="3" t="s">
        <v>35</v>
      </c>
      <c r="B18" s="3" t="s">
        <v>36</v>
      </c>
      <c r="C18" s="3" t="s">
        <v>37</v>
      </c>
      <c r="D18" s="4" t="n">
        <v>1</v>
      </c>
      <c r="E18" s="5" t="n">
        <v>12500000</v>
      </c>
      <c r="F18" s="5" t="n">
        <f aca="false">D18*E18</f>
        <v>12500000</v>
      </c>
      <c r="G18" s="3" t="s">
        <v>38</v>
      </c>
    </row>
    <row r="19" customFormat="false" ht="15" hidden="false" customHeight="false" outlineLevel="0" collapsed="false">
      <c r="A19" s="6" t="s">
        <v>39</v>
      </c>
      <c r="B19" s="6" t="s">
        <v>40</v>
      </c>
      <c r="C19" s="6" t="s">
        <v>37</v>
      </c>
      <c r="D19" s="7" t="n">
        <v>1</v>
      </c>
      <c r="E19" s="8" t="n">
        <v>850000</v>
      </c>
      <c r="F19" s="8" t="n">
        <f aca="false">D19*E19</f>
        <v>850000</v>
      </c>
      <c r="G19" s="6" t="s">
        <v>38</v>
      </c>
    </row>
    <row r="20" customFormat="false" ht="15" hidden="false" customHeight="false" outlineLevel="0" collapsed="false">
      <c r="A20" s="6" t="s">
        <v>41</v>
      </c>
      <c r="B20" s="6" t="s">
        <v>42</v>
      </c>
      <c r="C20" s="6" t="s">
        <v>43</v>
      </c>
      <c r="D20" s="7" t="n">
        <v>185000</v>
      </c>
      <c r="E20" s="8" t="n">
        <v>38</v>
      </c>
      <c r="F20" s="8" t="n">
        <f aca="false">D20*E20</f>
        <v>7030000</v>
      </c>
      <c r="G20" s="6" t="s">
        <v>38</v>
      </c>
    </row>
    <row r="21" customFormat="false" ht="15" hidden="false" customHeight="false" outlineLevel="0" collapsed="false">
      <c r="A21" s="6" t="s">
        <v>44</v>
      </c>
      <c r="B21" s="6" t="s">
        <v>45</v>
      </c>
      <c r="C21" s="6" t="s">
        <v>37</v>
      </c>
      <c r="D21" s="7" t="n">
        <v>1</v>
      </c>
      <c r="E21" s="8" t="n">
        <v>2200000</v>
      </c>
      <c r="F21" s="8" t="n">
        <f aca="false">D21*E21</f>
        <v>2200000</v>
      </c>
      <c r="G21" s="6" t="s">
        <v>38</v>
      </c>
    </row>
    <row r="22" customFormat="false" ht="15" hidden="false" customHeight="false" outlineLevel="0" collapsed="false">
      <c r="A22" s="6" t="s">
        <v>46</v>
      </c>
      <c r="B22" s="6" t="s">
        <v>47</v>
      </c>
      <c r="C22" s="6" t="s">
        <v>20</v>
      </c>
      <c r="D22" s="7" t="n">
        <v>18</v>
      </c>
      <c r="E22" s="8" t="n">
        <v>95000</v>
      </c>
      <c r="F22" s="8" t="n">
        <f aca="false">D22*E22</f>
        <v>1710000</v>
      </c>
      <c r="G22" s="6" t="s">
        <v>38</v>
      </c>
    </row>
    <row r="23" customFormat="false" ht="15" hidden="false" customHeight="false" outlineLevel="0" collapsed="false">
      <c r="A23" s="6" t="s">
        <v>48</v>
      </c>
      <c r="B23" s="6" t="s">
        <v>49</v>
      </c>
      <c r="C23" s="6" t="s">
        <v>50</v>
      </c>
      <c r="D23" s="7" t="n">
        <v>12500</v>
      </c>
      <c r="E23" s="8" t="n">
        <v>285</v>
      </c>
      <c r="F23" s="8" t="n">
        <f aca="false">D23*E23</f>
        <v>3562500</v>
      </c>
      <c r="G23" s="6" t="s">
        <v>38</v>
      </c>
    </row>
    <row r="24" customFormat="false" ht="15" hidden="false" customHeight="false" outlineLevel="0" collapsed="false">
      <c r="A24" s="6" t="s">
        <v>51</v>
      </c>
      <c r="B24" s="6" t="s">
        <v>52</v>
      </c>
      <c r="C24" s="6" t="s">
        <v>50</v>
      </c>
      <c r="D24" s="7" t="n">
        <v>85000</v>
      </c>
      <c r="E24" s="8" t="n">
        <v>65</v>
      </c>
      <c r="F24" s="8" t="n">
        <f aca="false">D24*E24</f>
        <v>5525000</v>
      </c>
      <c r="G24" s="6" t="s">
        <v>38</v>
      </c>
    </row>
    <row r="25" customFormat="false" ht="15" hidden="false" customHeight="false" outlineLevel="0" collapsed="false">
      <c r="A25" s="6" t="s">
        <v>53</v>
      </c>
      <c r="B25" s="6" t="s">
        <v>54</v>
      </c>
      <c r="C25" s="6" t="s">
        <v>37</v>
      </c>
      <c r="D25" s="7" t="n">
        <v>1</v>
      </c>
      <c r="E25" s="8" t="n">
        <v>3850000</v>
      </c>
      <c r="F25" s="8" t="n">
        <f aca="false">D25*E25</f>
        <v>3850000</v>
      </c>
      <c r="G25" s="6" t="s">
        <v>38</v>
      </c>
    </row>
    <row r="26" customFormat="false" ht="15" hidden="false" customHeight="false" outlineLevel="0" collapsed="false">
      <c r="A26" s="6" t="s">
        <v>55</v>
      </c>
      <c r="B26" s="6" t="s">
        <v>56</v>
      </c>
      <c r="C26" s="6" t="s">
        <v>37</v>
      </c>
      <c r="D26" s="7" t="n">
        <v>1</v>
      </c>
      <c r="E26" s="8" t="n">
        <v>1450000</v>
      </c>
      <c r="F26" s="8" t="n">
        <f aca="false">D26*E26</f>
        <v>1450000</v>
      </c>
      <c r="G26" s="6" t="s">
        <v>38</v>
      </c>
    </row>
    <row r="27" customFormat="false" ht="15" hidden="false" customHeight="false" outlineLevel="0" collapsed="false">
      <c r="A27" s="3" t="s">
        <v>57</v>
      </c>
      <c r="B27" s="3" t="s">
        <v>58</v>
      </c>
      <c r="C27" s="3" t="s">
        <v>32</v>
      </c>
      <c r="D27" s="4" t="n">
        <v>18500</v>
      </c>
      <c r="E27" s="5" t="n">
        <v>2250</v>
      </c>
      <c r="F27" s="5" t="n">
        <f aca="false">D27*E27</f>
        <v>41625000</v>
      </c>
      <c r="G27" s="3" t="s">
        <v>59</v>
      </c>
    </row>
    <row r="28" customFormat="false" ht="15" hidden="false" customHeight="false" outlineLevel="0" collapsed="false">
      <c r="A28" s="6" t="s">
        <v>60</v>
      </c>
      <c r="B28" s="6" t="s">
        <v>61</v>
      </c>
      <c r="C28" s="6" t="s">
        <v>32</v>
      </c>
      <c r="D28" s="7" t="n">
        <v>1850</v>
      </c>
      <c r="E28" s="8" t="n">
        <v>3850</v>
      </c>
      <c r="F28" s="8" t="n">
        <f aca="false">D28*E28</f>
        <v>7122500</v>
      </c>
      <c r="G28" s="6" t="s">
        <v>59</v>
      </c>
    </row>
    <row r="29" customFormat="false" ht="15" hidden="false" customHeight="false" outlineLevel="0" collapsed="false">
      <c r="A29" s="6" t="s">
        <v>62</v>
      </c>
      <c r="B29" s="6" t="s">
        <v>63</v>
      </c>
      <c r="C29" s="6" t="s">
        <v>32</v>
      </c>
      <c r="D29" s="7" t="n">
        <v>28000</v>
      </c>
      <c r="E29" s="8" t="n">
        <v>185</v>
      </c>
      <c r="F29" s="8" t="n">
        <f aca="false">D29*E29</f>
        <v>5180000</v>
      </c>
      <c r="G29" s="6" t="s">
        <v>59</v>
      </c>
    </row>
    <row r="30" customFormat="false" ht="15" hidden="false" customHeight="false" outlineLevel="0" collapsed="false">
      <c r="A30" s="6" t="s">
        <v>64</v>
      </c>
      <c r="B30" s="6" t="s">
        <v>65</v>
      </c>
      <c r="C30" s="6" t="s">
        <v>32</v>
      </c>
      <c r="D30" s="7" t="n">
        <v>35000</v>
      </c>
      <c r="E30" s="8" t="n">
        <v>245</v>
      </c>
      <c r="F30" s="8" t="n">
        <f aca="false">D30*E30</f>
        <v>8575000</v>
      </c>
      <c r="G30" s="6" t="s">
        <v>59</v>
      </c>
    </row>
    <row r="31" customFormat="false" ht="15" hidden="false" customHeight="false" outlineLevel="0" collapsed="false">
      <c r="A31" s="6" t="s">
        <v>66</v>
      </c>
      <c r="B31" s="6" t="s">
        <v>67</v>
      </c>
      <c r="C31" s="6" t="s">
        <v>32</v>
      </c>
      <c r="D31" s="7" t="n">
        <v>32000</v>
      </c>
      <c r="E31" s="8" t="n">
        <v>165</v>
      </c>
      <c r="F31" s="8" t="n">
        <f aca="false">D31*E31</f>
        <v>5280000</v>
      </c>
      <c r="G31" s="6" t="s">
        <v>59</v>
      </c>
    </row>
    <row r="32" customFormat="false" ht="15" hidden="false" customHeight="false" outlineLevel="0" collapsed="false">
      <c r="A32" s="6" t="s">
        <v>68</v>
      </c>
      <c r="B32" s="6" t="s">
        <v>69</v>
      </c>
      <c r="C32" s="6" t="s">
        <v>32</v>
      </c>
      <c r="D32" s="7" t="n">
        <v>65000</v>
      </c>
      <c r="E32" s="8" t="n">
        <v>45</v>
      </c>
      <c r="F32" s="8" t="n">
        <f aca="false">D32*E32</f>
        <v>2925000</v>
      </c>
      <c r="G32" s="6" t="s">
        <v>59</v>
      </c>
    </row>
    <row r="33" customFormat="false" ht="15" hidden="false" customHeight="false" outlineLevel="0" collapsed="false">
      <c r="A33" s="6" t="s">
        <v>70</v>
      </c>
      <c r="B33" s="6" t="s">
        <v>71</v>
      </c>
      <c r="C33" s="6" t="s">
        <v>20</v>
      </c>
      <c r="D33" s="7" t="n">
        <v>850</v>
      </c>
      <c r="E33" s="8" t="n">
        <v>2850</v>
      </c>
      <c r="F33" s="8" t="n">
        <f aca="false">D33*E33</f>
        <v>2422500</v>
      </c>
      <c r="G33" s="6" t="s">
        <v>59</v>
      </c>
    </row>
    <row r="34" customFormat="false" ht="15" hidden="false" customHeight="false" outlineLevel="0" collapsed="false">
      <c r="A34" s="6" t="s">
        <v>72</v>
      </c>
      <c r="B34" s="6" t="s">
        <v>73</v>
      </c>
      <c r="C34" s="6" t="s">
        <v>37</v>
      </c>
      <c r="D34" s="7" t="n">
        <v>1</v>
      </c>
      <c r="E34" s="8" t="n">
        <v>1850000</v>
      </c>
      <c r="F34" s="8" t="n">
        <f aca="false">D34*E34</f>
        <v>1850000</v>
      </c>
      <c r="G34" s="6" t="s">
        <v>59</v>
      </c>
    </row>
    <row r="35" customFormat="false" ht="15" hidden="false" customHeight="false" outlineLevel="0" collapsed="false">
      <c r="A35" s="3" t="s">
        <v>74</v>
      </c>
      <c r="B35" s="3" t="s">
        <v>75</v>
      </c>
      <c r="C35" s="3" t="s">
        <v>32</v>
      </c>
      <c r="D35" s="4" t="n">
        <v>12000</v>
      </c>
      <c r="E35" s="5" t="n">
        <v>385</v>
      </c>
      <c r="F35" s="5" t="n">
        <f aca="false">D35*E35</f>
        <v>4620000</v>
      </c>
      <c r="G35" s="3" t="s">
        <v>76</v>
      </c>
    </row>
    <row r="36" customFormat="false" ht="15" hidden="false" customHeight="false" outlineLevel="0" collapsed="false">
      <c r="A36" s="6" t="s">
        <v>77</v>
      </c>
      <c r="B36" s="6" t="s">
        <v>78</v>
      </c>
      <c r="C36" s="6" t="s">
        <v>32</v>
      </c>
      <c r="D36" s="7" t="n">
        <v>18000</v>
      </c>
      <c r="E36" s="8" t="n">
        <v>165</v>
      </c>
      <c r="F36" s="8" t="n">
        <f aca="false">D36*E36</f>
        <v>2970000</v>
      </c>
      <c r="G36" s="6" t="s">
        <v>76</v>
      </c>
    </row>
    <row r="37" customFormat="false" ht="15" hidden="false" customHeight="false" outlineLevel="0" collapsed="false">
      <c r="A37" s="6" t="s">
        <v>79</v>
      </c>
      <c r="B37" s="6" t="s">
        <v>80</v>
      </c>
      <c r="C37" s="6" t="s">
        <v>32</v>
      </c>
      <c r="D37" s="7" t="n">
        <v>25000</v>
      </c>
      <c r="E37" s="8" t="n">
        <v>1850</v>
      </c>
      <c r="F37" s="8" t="n">
        <f aca="false">D37*E37</f>
        <v>46250000</v>
      </c>
      <c r="G37" s="6" t="s">
        <v>76</v>
      </c>
    </row>
    <row r="38" customFormat="false" ht="15" hidden="false" customHeight="false" outlineLevel="0" collapsed="false">
      <c r="A38" s="6" t="s">
        <v>81</v>
      </c>
      <c r="B38" s="6" t="s">
        <v>82</v>
      </c>
      <c r="C38" s="6" t="s">
        <v>20</v>
      </c>
      <c r="D38" s="7" t="n">
        <v>285</v>
      </c>
      <c r="E38" s="8" t="n">
        <v>4200</v>
      </c>
      <c r="F38" s="8" t="n">
        <f aca="false">D38*E38</f>
        <v>1197000</v>
      </c>
      <c r="G38" s="6" t="s">
        <v>76</v>
      </c>
    </row>
    <row r="39" customFormat="false" ht="15" hidden="false" customHeight="false" outlineLevel="0" collapsed="false">
      <c r="A39" s="6" t="s">
        <v>83</v>
      </c>
      <c r="B39" s="6" t="s">
        <v>84</v>
      </c>
      <c r="C39" s="6" t="s">
        <v>32</v>
      </c>
      <c r="D39" s="7" t="n">
        <v>4500</v>
      </c>
      <c r="E39" s="8" t="n">
        <v>1250</v>
      </c>
      <c r="F39" s="8" t="n">
        <f aca="false">D39*E39</f>
        <v>5625000</v>
      </c>
      <c r="G39" s="6" t="s">
        <v>76</v>
      </c>
    </row>
    <row r="41" customFormat="false" ht="15" hidden="false" customHeight="false" outlineLevel="0" collapsed="false">
      <c r="A41" s="1" t="s">
        <v>85</v>
      </c>
      <c r="F41" s="9" t="n">
        <f aca="false">SUM(F10:F39)</f>
        <v>208319500</v>
      </c>
    </row>
    <row r="43" customFormat="false" ht="15" hidden="false" customHeight="false" outlineLevel="0" collapsed="false">
      <c r="A43" s="1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1" t="s">
        <v>87</v>
      </c>
    </row>
    <row r="3" customFormat="false" ht="15" hidden="false" customHeight="false" outlineLevel="0" collapsed="false">
      <c r="A3" s="12" t="s">
        <v>13</v>
      </c>
      <c r="B3" s="12" t="s">
        <v>88</v>
      </c>
    </row>
    <row r="4" customFormat="false" ht="15" hidden="false" customHeight="false" outlineLevel="0" collapsed="false">
      <c r="A4" s="0" t="s">
        <v>17</v>
      </c>
      <c r="B4" s="13" t="n">
        <f aca="false">SUMIF(BOQ!G10:G39,"Civil Works",BOQ!F10:F39)</f>
        <v>34000000</v>
      </c>
    </row>
    <row r="5" customFormat="false" ht="15" hidden="false" customHeight="false" outlineLevel="0" collapsed="false">
      <c r="A5" s="0" t="s">
        <v>38</v>
      </c>
      <c r="B5" s="13" t="n">
        <f aca="false">SUMIF(BOQ!G10:G39,"MEP Works",BOQ!F10:F39)</f>
        <v>38677500</v>
      </c>
    </row>
    <row r="6" customFormat="false" ht="15" hidden="false" customHeight="false" outlineLevel="0" collapsed="false">
      <c r="A6" s="0" t="s">
        <v>59</v>
      </c>
      <c r="B6" s="13" t="n">
        <f aca="false">SUMIF(BOQ!G10:G39,"Architectural",BOQ!F10:F39)</f>
        <v>74980000</v>
      </c>
    </row>
    <row r="7" customFormat="false" ht="15" hidden="false" customHeight="false" outlineLevel="0" collapsed="false">
      <c r="A7" s="0" t="s">
        <v>76</v>
      </c>
      <c r="B7" s="13" t="n">
        <f aca="false">SUMIF(BOQ!G10:G39,"External Works",BOQ!F10:F39)</f>
        <v>60662000</v>
      </c>
    </row>
    <row r="8" customFormat="false" ht="15" hidden="false" customHeight="false" outlineLevel="0" collapsed="false">
      <c r="A8" s="1" t="s">
        <v>85</v>
      </c>
      <c r="B8" s="9" t="n">
        <f aca="false">SUM(B4:B7)</f>
        <v>208319500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2026-04-28T12:45:37Z</dcterms:created>
  <dc:creator>openpyxl</dc:creator>
  <dc:description/>
  <dc:language>en-US</dc:language>
  <cp:lastModifiedBy/>
  <dcterms:modified xsi:type="dcterms:W3CDTF">2026-04-28T12:45:37Z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