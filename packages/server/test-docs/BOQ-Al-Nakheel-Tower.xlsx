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Q Summary" sheetId="1" state="visible" r:id="rId3"/>
    <sheet name="Project Schedule" sheetId="2" state="visible" r:id="rId4"/>
    <sheet name="Cost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<sst xmlns="http://schemas.openxmlformats.org/spreadsheetml/2006/main" count="368" uniqueCount="289">
  <si>
    <t xml:space="preserve">BILL OF QUANTITIES - Al Nakheel Tower Construction Project</t>
  </si>
  <si>
    <t xml:space="preserve">Project No: ANT-2024-0087 | Client: Al Nakheel Development Co. | Location: Riyadh, KSA</t>
  </si>
  <si>
    <t xml:space="preserve">Date: 15-Mar-2024 | Rev: 03 | Currency: SAR (Saudi Riyal)</t>
  </si>
  <si>
    <t xml:space="preserve">Item No.</t>
  </si>
  <si>
    <t xml:space="preserve">Description</t>
  </si>
  <si>
    <t xml:space="preserve">Unit</t>
  </si>
  <si>
    <t xml:space="preserve">Quantity</t>
  </si>
  <si>
    <t xml:space="preserve">Unit Rate (SAR)</t>
  </si>
  <si>
    <t xml:space="preserve">Total Amount (SAR)</t>
  </si>
  <si>
    <t xml:space="preserve">Remarks</t>
  </si>
  <si>
    <t xml:space="preserve">SECTION A: EARTHWORK &amp; FOUNDATIONS</t>
  </si>
  <si>
    <t xml:space="preserve">A-001</t>
  </si>
  <si>
    <t xml:space="preserve">Site Clearing and Grubbing</t>
  </si>
  <si>
    <t xml:space="preserve">m²</t>
  </si>
  <si>
    <t xml:space="preserve">Including debris removal</t>
  </si>
  <si>
    <t xml:space="preserve">A-002</t>
  </si>
  <si>
    <t xml:space="preserve">Excavation for Foundations (Bulk)</t>
  </si>
  <si>
    <t xml:space="preserve">m³</t>
  </si>
  <si>
    <t xml:space="preserve">Up to 6m depth</t>
  </si>
  <si>
    <t xml:space="preserve">A-003</t>
  </si>
  <si>
    <t xml:space="preserve">Excavation for Foundations (Trenches)</t>
  </si>
  <si>
    <t xml:space="preserve">Trench width 0.6-1.2m</t>
  </si>
  <si>
    <t xml:space="preserve">A-004</t>
  </si>
  <si>
    <t xml:space="preserve">Backfilling with Selected Material</t>
  </si>
  <si>
    <t xml:space="preserve">Compacted to 95% MDD</t>
  </si>
  <si>
    <t xml:space="preserve">A-005</t>
  </si>
  <si>
    <t xml:space="preserve">Dewatering System</t>
  </si>
  <si>
    <t xml:space="preserve">LS</t>
  </si>
  <si>
    <t xml:space="preserve">6-month duration</t>
  </si>
  <si>
    <t xml:space="preserve">A-006</t>
  </si>
  <si>
    <t xml:space="preserve">Pile Foundation - Bored Piles (600mm dia)</t>
  </si>
  <si>
    <t xml:space="preserve">LM</t>
  </si>
  <si>
    <t xml:space="preserve">Depth avg 25m</t>
  </si>
  <si>
    <t xml:space="preserve">A-007</t>
  </si>
  <si>
    <t xml:space="preserve">Pile Foundation - Bored Piles (900mm dia)</t>
  </si>
  <si>
    <t xml:space="preserve">Depth avg 30m</t>
  </si>
  <si>
    <t xml:space="preserve">A-008</t>
  </si>
  <si>
    <t xml:space="preserve">Pile Cap Construction</t>
  </si>
  <si>
    <t xml:space="preserve">Grade C40 concrete</t>
  </si>
  <si>
    <t xml:space="preserve">A-009</t>
  </si>
  <si>
    <t xml:space="preserve">Raft Foundation (2.5m thick)</t>
  </si>
  <si>
    <t xml:space="preserve">Grade C50 concrete with waterproofing</t>
  </si>
  <si>
    <t xml:space="preserve">A-010</t>
  </si>
  <si>
    <t xml:space="preserve">Ground Improvement - Stone Columns</t>
  </si>
  <si>
    <t xml:space="preserve">Grid spacing 2.0m c/c</t>
  </si>
  <si>
    <t xml:space="preserve">SECTION B: CONCRETE STRUCTURE</t>
  </si>
  <si>
    <t xml:space="preserve">B-001</t>
  </si>
  <si>
    <t xml:space="preserve">Reinforced Concrete Columns (Ground to L10)</t>
  </si>
  <si>
    <t xml:space="preserve">Grade C60, high-strength</t>
  </si>
  <si>
    <t xml:space="preserve">B-002</t>
  </si>
  <si>
    <t xml:space="preserve">Reinforced Concrete Columns (L10 to L30)</t>
  </si>
  <si>
    <t xml:space="preserve">Grade C50</t>
  </si>
  <si>
    <t xml:space="preserve">B-003</t>
  </si>
  <si>
    <t xml:space="preserve">Reinforced Concrete Columns (L30 to Roof)</t>
  </si>
  <si>
    <t xml:space="preserve">Grade C40</t>
  </si>
  <si>
    <t xml:space="preserve">B-004</t>
  </si>
  <si>
    <t xml:space="preserve">Reinforced Concrete Slabs (Post-tensioned)</t>
  </si>
  <si>
    <t xml:space="preserve">250mm thick typical</t>
  </si>
  <si>
    <t xml:space="preserve">B-005</t>
  </si>
  <si>
    <t xml:space="preserve">Reinforced Concrete Core Walls</t>
  </si>
  <si>
    <t xml:space="preserve">400mm thick, Grade C60</t>
  </si>
  <si>
    <t xml:space="preserve">B-006</t>
  </si>
  <si>
    <t xml:space="preserve">Reinforced Concrete Beams</t>
  </si>
  <si>
    <t xml:space="preserve">Transfer beams at L3 and L10</t>
  </si>
  <si>
    <t xml:space="preserve">B-007</t>
  </si>
  <si>
    <t xml:space="preserve">Formwork - Flat Slab</t>
  </si>
  <si>
    <t xml:space="preserve">System formwork</t>
  </si>
  <si>
    <t xml:space="preserve">B-008</t>
  </si>
  <si>
    <t xml:space="preserve">Formwork - Walls and Columns</t>
  </si>
  <si>
    <t xml:space="preserve">Steel formwork</t>
  </si>
  <si>
    <t xml:space="preserve">B-009</t>
  </si>
  <si>
    <t xml:space="preserve">Steel Reinforcement (Grade 60)</t>
  </si>
  <si>
    <t xml:space="preserve">Ton</t>
  </si>
  <si>
    <t xml:space="preserve">Cut and bent to schedule</t>
  </si>
  <si>
    <t xml:space="preserve">B-010</t>
  </si>
  <si>
    <t xml:space="preserve">Post-Tensioning System</t>
  </si>
  <si>
    <t xml:space="preserve">Multi-strand system</t>
  </si>
  <si>
    <t xml:space="preserve">SECTION C: MECHANICAL, ELECTRICAL &amp; PLUMBING</t>
  </si>
  <si>
    <t xml:space="preserve">C-001</t>
  </si>
  <si>
    <t xml:space="preserve">HVAC System - Central Chilled Water Plant</t>
  </si>
  <si>
    <t xml:space="preserve">4x500 TR chillers</t>
  </si>
  <si>
    <t xml:space="preserve">C-002</t>
  </si>
  <si>
    <t xml:space="preserve">HVAC System - AHU and Ductwork</t>
  </si>
  <si>
    <t xml:space="preserve">All floors</t>
  </si>
  <si>
    <t xml:space="preserve">C-003</t>
  </si>
  <si>
    <t xml:space="preserve">Electrical - HV Switchgear (13.8kV)</t>
  </si>
  <si>
    <t xml:space="preserve">Set</t>
  </si>
  <si>
    <t xml:space="preserve">Main incoming</t>
  </si>
  <si>
    <t xml:space="preserve">C-004</t>
  </si>
  <si>
    <t xml:space="preserve">Electrical - Transformers (2000kVA)</t>
  </si>
  <si>
    <t xml:space="preserve">No.</t>
  </si>
  <si>
    <t xml:space="preserve">Dry type</t>
  </si>
  <si>
    <t xml:space="preserve">C-005</t>
  </si>
  <si>
    <t xml:space="preserve">Electrical - LV Distribution Boards</t>
  </si>
  <si>
    <t xml:space="preserve">C-006</t>
  </si>
  <si>
    <t xml:space="preserve">Electrical - Generator Set (2000kVA)</t>
  </si>
  <si>
    <t xml:space="preserve">Diesel, with ATS</t>
  </si>
  <si>
    <t xml:space="preserve">C-007</t>
  </si>
  <si>
    <t xml:space="preserve">Fire Fighting - Sprinkler System</t>
  </si>
  <si>
    <t xml:space="preserve">All floors including basement</t>
  </si>
  <si>
    <t xml:space="preserve">C-008</t>
  </si>
  <si>
    <t xml:space="preserve">Fire Fighting - Fire Pump Station</t>
  </si>
  <si>
    <t xml:space="preserve">Diesel + electric + jockey</t>
  </si>
  <si>
    <t xml:space="preserve">C-009</t>
  </si>
  <si>
    <t xml:space="preserve">Plumbing - Water Supply System</t>
  </si>
  <si>
    <t xml:space="preserve">Includes booster pumps</t>
  </si>
  <si>
    <t xml:space="preserve">C-010</t>
  </si>
  <si>
    <t xml:space="preserve">Plumbing - Drainage System</t>
  </si>
  <si>
    <t xml:space="preserve">Including grease traps</t>
  </si>
  <si>
    <t xml:space="preserve">C-011</t>
  </si>
  <si>
    <t xml:space="preserve">Elevator Installation - High Speed</t>
  </si>
  <si>
    <t xml:space="preserve">Speed 4m/s, 21-person</t>
  </si>
  <si>
    <t xml:space="preserve">C-012</t>
  </si>
  <si>
    <t xml:space="preserve">Elevator Installation - Service</t>
  </si>
  <si>
    <t xml:space="preserve">Speed 2.5m/s, freight</t>
  </si>
  <si>
    <t xml:space="preserve">C-013</t>
  </si>
  <si>
    <t xml:space="preserve">BMS - Building Management System</t>
  </si>
  <si>
    <t xml:space="preserve">Integrated system</t>
  </si>
  <si>
    <t xml:space="preserve">SECTION D: FACADE &amp; EXTERNAL WORKS</t>
  </si>
  <si>
    <t xml:space="preserve">D-001</t>
  </si>
  <si>
    <t xml:space="preserve">Curtain Wall System - Unitized</t>
  </si>
  <si>
    <t xml:space="preserve">Double glazed, low-E</t>
  </si>
  <si>
    <t xml:space="preserve">D-002</t>
  </si>
  <si>
    <t xml:space="preserve">Aluminum Cladding Panels</t>
  </si>
  <si>
    <t xml:space="preserve">Powder coated</t>
  </si>
  <si>
    <t xml:space="preserve">D-003</t>
  </si>
  <si>
    <t xml:space="preserve">Stone Cladding - Granite</t>
  </si>
  <si>
    <t xml:space="preserve">30mm thick, honed finish</t>
  </si>
  <si>
    <t xml:space="preserve">D-004</t>
  </si>
  <si>
    <t xml:space="preserve">External Landscaping</t>
  </si>
  <si>
    <t xml:space="preserve">Including irrigation</t>
  </si>
  <si>
    <t xml:space="preserve">D-005</t>
  </si>
  <si>
    <t xml:space="preserve">External Roads and Parking</t>
  </si>
  <si>
    <t xml:space="preserve">Asphalt with line marking</t>
  </si>
  <si>
    <t xml:space="preserve">D-006</t>
  </si>
  <si>
    <t xml:space="preserve">Boundary Wall and Fencing</t>
  </si>
  <si>
    <t xml:space="preserve">Precast concrete 3m high</t>
  </si>
  <si>
    <t xml:space="preserve">SECTION E: PRELIMINARIES &amp; GENERAL</t>
  </si>
  <si>
    <t xml:space="preserve">E-001</t>
  </si>
  <si>
    <t xml:space="preserve">Site Establishment and Mobilization</t>
  </si>
  <si>
    <t xml:space="preserve">Offices, stores, utilities</t>
  </si>
  <si>
    <t xml:space="preserve">E-002</t>
  </si>
  <si>
    <t xml:space="preserve">Project Management Staff</t>
  </si>
  <si>
    <t xml:space="preserve">Month</t>
  </si>
  <si>
    <t xml:space="preserve">36-month duration</t>
  </si>
  <si>
    <t xml:space="preserve">E-003</t>
  </si>
  <si>
    <t xml:space="preserve">Insurance - CAR Policy</t>
  </si>
  <si>
    <t xml:space="preserve">All risks</t>
  </si>
  <si>
    <t xml:space="preserve">E-004</t>
  </si>
  <si>
    <t xml:space="preserve">Performance Bond</t>
  </si>
  <si>
    <t xml:space="preserve">10% of contract value</t>
  </si>
  <si>
    <t xml:space="preserve">E-005</t>
  </si>
  <si>
    <t xml:space="preserve">Health &amp; Safety Provisions</t>
  </si>
  <si>
    <t xml:space="preserve">Full-time HSE team</t>
  </si>
  <si>
    <t xml:space="preserve">E-006</t>
  </si>
  <si>
    <t xml:space="preserve">Quality Control &amp; Testing</t>
  </si>
  <si>
    <t xml:space="preserve">Lab and field testing</t>
  </si>
  <si>
    <t xml:space="preserve">E-007</t>
  </si>
  <si>
    <t xml:space="preserve">Temporary Works - Tower Crane (2 nos)</t>
  </si>
  <si>
    <t xml:space="preserve">Luffing jib type</t>
  </si>
  <si>
    <t xml:space="preserve">E-008</t>
  </si>
  <si>
    <t xml:space="preserve">Temporary Works - Hoists &amp; Scaffolding</t>
  </si>
  <si>
    <t xml:space="preserve">Including maintenance</t>
  </si>
  <si>
    <t xml:space="preserve">GRAND TOTAL (SAR):</t>
  </si>
  <si>
    <t xml:space="preserve">VAT (15%):</t>
  </si>
  <si>
    <t xml:space="preserve">TOTAL WITH VAT (SAR):</t>
  </si>
  <si>
    <t xml:space="preserve">PROJECT SCHEDULE - Al Nakheel Tower</t>
  </si>
  <si>
    <t xml:space="preserve">Phase</t>
  </si>
  <si>
    <t xml:space="preserve">Activity</t>
  </si>
  <si>
    <t xml:space="preserve">Start Date</t>
  </si>
  <si>
    <t xml:space="preserve">End Date</t>
  </si>
  <si>
    <t xml:space="preserve">Duration (Days)</t>
  </si>
  <si>
    <t xml:space="preserve">Dependencies</t>
  </si>
  <si>
    <t xml:space="preserve">Status</t>
  </si>
  <si>
    <t xml:space="preserve">% Complete</t>
  </si>
  <si>
    <t xml:space="preserve">Pre-Construction</t>
  </si>
  <si>
    <t xml:space="preserve">Design Finalization</t>
  </si>
  <si>
    <t xml:space="preserve">01-Jan-2024</t>
  </si>
  <si>
    <t xml:space="preserve">28-Feb-2024</t>
  </si>
  <si>
    <t xml:space="preserve">-</t>
  </si>
  <si>
    <t xml:space="preserve">Completed</t>
  </si>
  <si>
    <t xml:space="preserve">Permits &amp; Approvals</t>
  </si>
  <si>
    <t xml:space="preserve">15-Jan-2024</t>
  </si>
  <si>
    <t xml:space="preserve">30-Apr-2024</t>
  </si>
  <si>
    <t xml:space="preserve">Design</t>
  </si>
  <si>
    <t xml:space="preserve">Site Mobilization</t>
  </si>
  <si>
    <t xml:space="preserve">01-Mar-2024</t>
  </si>
  <si>
    <t xml:space="preserve">31-Mar-2024</t>
  </si>
  <si>
    <t xml:space="preserve">Permits</t>
  </si>
  <si>
    <t xml:space="preserve">Substructure</t>
  </si>
  <si>
    <t xml:space="preserve">Excavation &amp; Earthwork</t>
  </si>
  <si>
    <t xml:space="preserve">01-Apr-2024</t>
  </si>
  <si>
    <t xml:space="preserve">30-Jun-2024</t>
  </si>
  <si>
    <t xml:space="preserve">Mobilization</t>
  </si>
  <si>
    <t xml:space="preserve">In Progress</t>
  </si>
  <si>
    <t xml:space="preserve">Piling Works</t>
  </si>
  <si>
    <t xml:space="preserve">15-Apr-2024</t>
  </si>
  <si>
    <t xml:space="preserve">31-Aug-2024</t>
  </si>
  <si>
    <t xml:space="preserve">Excavation (partial)</t>
  </si>
  <si>
    <t xml:space="preserve">Pile Caps &amp; Raft Foundation</t>
  </si>
  <si>
    <t xml:space="preserve">01-Jul-2024</t>
  </si>
  <si>
    <t xml:space="preserve">30-Nov-2024</t>
  </si>
  <si>
    <t xml:space="preserve">Piling</t>
  </si>
  <si>
    <t xml:space="preserve">Not Started</t>
  </si>
  <si>
    <t xml:space="preserve">Basement Structure (B3 to B1)</t>
  </si>
  <si>
    <t xml:space="preserve">01-Sep-2024</t>
  </si>
  <si>
    <t xml:space="preserve">28-Feb-2025</t>
  </si>
  <si>
    <t xml:space="preserve">Raft Foundation (partial)</t>
  </si>
  <si>
    <t xml:space="preserve">Superstructure</t>
  </si>
  <si>
    <t xml:space="preserve">Core &amp; Columns (Ground to L10)</t>
  </si>
  <si>
    <t xml:space="preserve">01-Dec-2024</t>
  </si>
  <si>
    <t xml:space="preserve">30-Apr-2025</t>
  </si>
  <si>
    <t xml:space="preserve">Basement (partial)</t>
  </si>
  <si>
    <t xml:space="preserve">Core &amp; Columns (L10 to L30)</t>
  </si>
  <si>
    <t xml:space="preserve">01-Mar-2025</t>
  </si>
  <si>
    <t xml:space="preserve">31-Aug-2025</t>
  </si>
  <si>
    <t xml:space="preserve">Ground-L10</t>
  </si>
  <si>
    <t xml:space="preserve">Core &amp; Columns (L30 to Roof)</t>
  </si>
  <si>
    <t xml:space="preserve">01-Jul-2025</t>
  </si>
  <si>
    <t xml:space="preserve">31-Dec-2025</t>
  </si>
  <si>
    <t xml:space="preserve">L10-L30</t>
  </si>
  <si>
    <t xml:space="preserve">Post-Tensioned Slabs (All Floors)</t>
  </si>
  <si>
    <t xml:space="preserve">01-Feb-2025</t>
  </si>
  <si>
    <t xml:space="preserve">30-Nov-2025</t>
  </si>
  <si>
    <t xml:space="preserve">Columns (per floor)</t>
  </si>
  <si>
    <t xml:space="preserve">MEP</t>
  </si>
  <si>
    <t xml:space="preserve">MEP Rough-In (Underground)</t>
  </si>
  <si>
    <t xml:space="preserve">01-Oct-2024</t>
  </si>
  <si>
    <t xml:space="preserve">31-Jan-2025</t>
  </si>
  <si>
    <t xml:space="preserve">Basement Structure</t>
  </si>
  <si>
    <t xml:space="preserve">MEP Rough-In (Tower)</t>
  </si>
  <si>
    <t xml:space="preserve">01-Apr-2025</t>
  </si>
  <si>
    <t xml:space="preserve">28-Feb-2026</t>
  </si>
  <si>
    <t xml:space="preserve">Slabs (per floor)</t>
  </si>
  <si>
    <t xml:space="preserve">MEP Testing &amp; Commissioning</t>
  </si>
  <si>
    <t xml:space="preserve">01-Jan-2026</t>
  </si>
  <si>
    <t xml:space="preserve">30-Jun-2026</t>
  </si>
  <si>
    <t xml:space="preserve">MEP Rough-In</t>
  </si>
  <si>
    <t xml:space="preserve">Facade</t>
  </si>
  <si>
    <t xml:space="preserve">Curtain Wall Installation</t>
  </si>
  <si>
    <t xml:space="preserve">01-Jun-2025</t>
  </si>
  <si>
    <t xml:space="preserve">31-Mar-2026</t>
  </si>
  <si>
    <t xml:space="preserve">Superstructure (per floor)</t>
  </si>
  <si>
    <t xml:space="preserve">Cladding &amp; External Finishes</t>
  </si>
  <si>
    <t xml:space="preserve">01-Sep-2025</t>
  </si>
  <si>
    <t xml:space="preserve">Curtain Wall (per zone)</t>
  </si>
  <si>
    <t xml:space="preserve">Interior</t>
  </si>
  <si>
    <t xml:space="preserve">Internal Finishes (Fit-out)</t>
  </si>
  <si>
    <t xml:space="preserve">30-Sep-2026</t>
  </si>
  <si>
    <t xml:space="preserve">MEP Rough-In (per floor)</t>
  </si>
  <si>
    <t xml:space="preserve">Elevator Installation</t>
  </si>
  <si>
    <t xml:space="preserve">31-May-2026</t>
  </si>
  <si>
    <t xml:space="preserve">Core Complete</t>
  </si>
  <si>
    <t xml:space="preserve">External</t>
  </si>
  <si>
    <t xml:space="preserve">Landscaping &amp; Hardscaping</t>
  </si>
  <si>
    <t xml:space="preserve">01-Apr-2026</t>
  </si>
  <si>
    <t xml:space="preserve">External Structure</t>
  </si>
  <si>
    <t xml:space="preserve">External Roads &amp; Parking</t>
  </si>
  <si>
    <t xml:space="preserve">01-Mar-2026</t>
  </si>
  <si>
    <t xml:space="preserve">31-Aug-2026</t>
  </si>
  <si>
    <t xml:space="preserve">Landscaping (partial)</t>
  </si>
  <si>
    <t xml:space="preserve">Completion</t>
  </si>
  <si>
    <t xml:space="preserve">Snag List &amp; Defects</t>
  </si>
  <si>
    <t xml:space="preserve">01-Jul-2026</t>
  </si>
  <si>
    <t xml:space="preserve">30-Nov-2026</t>
  </si>
  <si>
    <t xml:space="preserve">All Works</t>
  </si>
  <si>
    <t xml:space="preserve">Final Inspection &amp; Handover</t>
  </si>
  <si>
    <t xml:space="preserve">01-Oct-2026</t>
  </si>
  <si>
    <t xml:space="preserve">31-Dec-2026</t>
  </si>
  <si>
    <t xml:space="preserve">Snag List</t>
  </si>
  <si>
    <t xml:space="preserve">Defects Liability Period Start</t>
  </si>
  <si>
    <t xml:space="preserve">01-Jan-2027</t>
  </si>
  <si>
    <t xml:space="preserve">31-Dec-2027</t>
  </si>
  <si>
    <t xml:space="preserve">Handover</t>
  </si>
  <si>
    <t xml:space="preserve">COST SUMMARY BY CATEGORY</t>
  </si>
  <si>
    <t xml:space="preserve">Category</t>
  </si>
  <si>
    <t xml:space="preserve">Budgeted Amount (SAR)</t>
  </si>
  <si>
    <t xml:space="preserve">Committed Amount (SAR)</t>
  </si>
  <si>
    <t xml:space="preserve">Variance (SAR)</t>
  </si>
  <si>
    <t xml:space="preserve">Variance %</t>
  </si>
  <si>
    <t xml:space="preserve">A - Earthwork &amp; Foundations</t>
  </si>
  <si>
    <t xml:space="preserve">B - Concrete Structure</t>
  </si>
  <si>
    <t xml:space="preserve">C - MEP Systems</t>
  </si>
  <si>
    <t xml:space="preserve">D - Facade &amp; External Works</t>
  </si>
  <si>
    <t xml:space="preserve">E - Preliminaries &amp; General</t>
  </si>
  <si>
    <t xml:space="preserve">Contingency (5%)</t>
  </si>
  <si>
    <t xml:space="preserve">Design Fees</t>
  </si>
  <si>
    <t xml:space="preserve">Project Management Fee</t>
  </si>
  <si>
    <t xml:space="preserve">TOTAL PROJECT COST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</si>
</sst>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%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2F5496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6E4F0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double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  <c r="F3" s="2"/>
      <c r="G3" s="2"/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customFormat="false" ht="15" hidden="false" customHeight="false" outlineLevel="0" collapsed="false">
      <c r="A6" s="4" t="s">
        <v>10</v>
      </c>
      <c r="B6" s="4"/>
      <c r="C6" s="4"/>
      <c r="D6" s="4"/>
      <c r="E6" s="4"/>
      <c r="F6" s="4"/>
      <c r="G6" s="4"/>
    </row>
    <row r="7" customFormat="false" ht="15" hidden="false" customHeight="false" outlineLevel="0" collapsed="false">
      <c r="A7" s="5" t="s">
        <v>11</v>
      </c>
      <c r="B7" s="5" t="s">
        <v>12</v>
      </c>
      <c r="C7" s="5" t="s">
        <v>13</v>
      </c>
      <c r="D7" s="5" t="n">
        <v>15000</v>
      </c>
      <c r="E7" s="6" t="n">
        <v>45</v>
      </c>
      <c r="F7" s="6" t="n">
        <f aca="false">D7*E7</f>
        <v>675000</v>
      </c>
      <c r="G7" s="5" t="s">
        <v>14</v>
      </c>
    </row>
    <row r="8" customFormat="false" ht="15" hidden="false" customHeight="false" outlineLevel="0" collapsed="false">
      <c r="A8" s="5" t="s">
        <v>15</v>
      </c>
      <c r="B8" s="5" t="s">
        <v>16</v>
      </c>
      <c r="C8" s="5" t="s">
        <v>17</v>
      </c>
      <c r="D8" s="5" t="n">
        <v>28000</v>
      </c>
      <c r="E8" s="6" t="n">
        <v>85</v>
      </c>
      <c r="F8" s="6" t="n">
        <f aca="false">D8*E8</f>
        <v>2380000</v>
      </c>
      <c r="G8" s="5" t="s">
        <v>18</v>
      </c>
    </row>
    <row r="9" customFormat="false" ht="15" hidden="false" customHeight="false" outlineLevel="0" collapsed="false">
      <c r="A9" s="5" t="s">
        <v>19</v>
      </c>
      <c r="B9" s="5" t="s">
        <v>20</v>
      </c>
      <c r="C9" s="5" t="s">
        <v>17</v>
      </c>
      <c r="D9" s="5" t="n">
        <v>5200</v>
      </c>
      <c r="E9" s="6" t="n">
        <v>120</v>
      </c>
      <c r="F9" s="6" t="n">
        <f aca="false">D9*E9</f>
        <v>624000</v>
      </c>
      <c r="G9" s="5" t="s">
        <v>21</v>
      </c>
    </row>
    <row r="10" customFormat="false" ht="15" hidden="false" customHeight="false" outlineLevel="0" collapsed="false">
      <c r="A10" s="5" t="s">
        <v>22</v>
      </c>
      <c r="B10" s="5" t="s">
        <v>23</v>
      </c>
      <c r="C10" s="5" t="s">
        <v>17</v>
      </c>
      <c r="D10" s="5" t="n">
        <v>12000</v>
      </c>
      <c r="E10" s="6" t="n">
        <v>65</v>
      </c>
      <c r="F10" s="6" t="n">
        <f aca="false">D10*E10</f>
        <v>780000</v>
      </c>
      <c r="G10" s="5" t="s">
        <v>24</v>
      </c>
    </row>
    <row r="11" customFormat="false" ht="15" hidden="false" customHeight="false" outlineLevel="0" collapsed="false">
      <c r="A11" s="5" t="s">
        <v>25</v>
      </c>
      <c r="B11" s="5" t="s">
        <v>26</v>
      </c>
      <c r="C11" s="5" t="s">
        <v>27</v>
      </c>
      <c r="D11" s="5" t="n">
        <v>1</v>
      </c>
      <c r="E11" s="6" t="n">
        <v>850000</v>
      </c>
      <c r="F11" s="6" t="n">
        <f aca="false">D11*E11</f>
        <v>850000</v>
      </c>
      <c r="G11" s="5" t="s">
        <v>28</v>
      </c>
    </row>
    <row r="12" customFormat="false" ht="15" hidden="false" customHeight="false" outlineLevel="0" collapsed="false">
      <c r="A12" s="5" t="s">
        <v>29</v>
      </c>
      <c r="B12" s="5" t="s">
        <v>30</v>
      </c>
      <c r="C12" s="5" t="s">
        <v>31</v>
      </c>
      <c r="D12" s="5" t="n">
        <v>8500</v>
      </c>
      <c r="E12" s="6" t="n">
        <v>950</v>
      </c>
      <c r="F12" s="6" t="n">
        <f aca="false">D12*E12</f>
        <v>8075000</v>
      </c>
      <c r="G12" s="5" t="s">
        <v>32</v>
      </c>
    </row>
    <row r="13" customFormat="false" ht="15" hidden="false" customHeight="false" outlineLevel="0" collapsed="false">
      <c r="A13" s="5" t="s">
        <v>33</v>
      </c>
      <c r="B13" s="5" t="s">
        <v>34</v>
      </c>
      <c r="C13" s="5" t="s">
        <v>31</v>
      </c>
      <c r="D13" s="5" t="n">
        <v>3200</v>
      </c>
      <c r="E13" s="6" t="n">
        <v>1450</v>
      </c>
      <c r="F13" s="6" t="n">
        <f aca="false">D13*E13</f>
        <v>4640000</v>
      </c>
      <c r="G13" s="5" t="s">
        <v>35</v>
      </c>
    </row>
    <row r="14" customFormat="false" ht="15" hidden="false" customHeight="false" outlineLevel="0" collapsed="false">
      <c r="A14" s="5" t="s">
        <v>36</v>
      </c>
      <c r="B14" s="5" t="s">
        <v>37</v>
      </c>
      <c r="C14" s="5" t="s">
        <v>17</v>
      </c>
      <c r="D14" s="5" t="n">
        <v>4800</v>
      </c>
      <c r="E14" s="6" t="n">
        <v>2200</v>
      </c>
      <c r="F14" s="6" t="n">
        <f aca="false">D14*E14</f>
        <v>10560000</v>
      </c>
      <c r="G14" s="5" t="s">
        <v>38</v>
      </c>
    </row>
    <row r="15" customFormat="false" ht="23.85" hidden="false" customHeight="false" outlineLevel="0" collapsed="false">
      <c r="A15" s="5" t="s">
        <v>39</v>
      </c>
      <c r="B15" s="5" t="s">
        <v>40</v>
      </c>
      <c r="C15" s="5" t="s">
        <v>17</v>
      </c>
      <c r="D15" s="5" t="n">
        <v>9600</v>
      </c>
      <c r="E15" s="6" t="n">
        <v>1850</v>
      </c>
      <c r="F15" s="6" t="n">
        <f aca="false">D15*E15</f>
        <v>17760000</v>
      </c>
      <c r="G15" s="5" t="s">
        <v>41</v>
      </c>
    </row>
    <row r="16" customFormat="false" ht="15" hidden="false" customHeight="false" outlineLevel="0" collapsed="false">
      <c r="A16" s="5" t="s">
        <v>42</v>
      </c>
      <c r="B16" s="5" t="s">
        <v>43</v>
      </c>
      <c r="C16" s="5" t="s">
        <v>31</v>
      </c>
      <c r="D16" s="5" t="n">
        <v>6000</v>
      </c>
      <c r="E16" s="6" t="n">
        <v>380</v>
      </c>
      <c r="F16" s="6" t="n">
        <f aca="false">D16*E16</f>
        <v>2280000</v>
      </c>
      <c r="G16" s="5" t="s">
        <v>44</v>
      </c>
    </row>
    <row r="17" customFormat="false" ht="15" hidden="false" customHeight="false" outlineLevel="0" collapsed="false">
      <c r="A17" s="4" t="s">
        <v>45</v>
      </c>
      <c r="B17" s="4"/>
      <c r="C17" s="4"/>
      <c r="D17" s="4"/>
      <c r="E17" s="4"/>
      <c r="F17" s="4"/>
      <c r="G17" s="4"/>
    </row>
    <row r="18" customFormat="false" ht="15" hidden="false" customHeight="false" outlineLevel="0" collapsed="false">
      <c r="A18" s="5" t="s">
        <v>46</v>
      </c>
      <c r="B18" s="5" t="s">
        <v>47</v>
      </c>
      <c r="C18" s="5" t="s">
        <v>17</v>
      </c>
      <c r="D18" s="5" t="n">
        <v>3200</v>
      </c>
      <c r="E18" s="6" t="n">
        <v>3500</v>
      </c>
      <c r="F18" s="6" t="n">
        <f aca="false">D18*E18</f>
        <v>11200000</v>
      </c>
      <c r="G18" s="5" t="s">
        <v>48</v>
      </c>
    </row>
    <row r="19" customFormat="false" ht="15" hidden="false" customHeight="false" outlineLevel="0" collapsed="false">
      <c r="A19" s="5" t="s">
        <v>49</v>
      </c>
      <c r="B19" s="5" t="s">
        <v>50</v>
      </c>
      <c r="C19" s="5" t="s">
        <v>17</v>
      </c>
      <c r="D19" s="5" t="n">
        <v>4800</v>
      </c>
      <c r="E19" s="6" t="n">
        <v>3200</v>
      </c>
      <c r="F19" s="6" t="n">
        <f aca="false">D19*E19</f>
        <v>15360000</v>
      </c>
      <c r="G19" s="5" t="s">
        <v>51</v>
      </c>
    </row>
    <row r="20" customFormat="false" ht="15" hidden="false" customHeight="false" outlineLevel="0" collapsed="false">
      <c r="A20" s="5" t="s">
        <v>52</v>
      </c>
      <c r="B20" s="5" t="s">
        <v>53</v>
      </c>
      <c r="C20" s="5" t="s">
        <v>17</v>
      </c>
      <c r="D20" s="5" t="n">
        <v>2400</v>
      </c>
      <c r="E20" s="6" t="n">
        <v>2900</v>
      </c>
      <c r="F20" s="6" t="n">
        <f aca="false">D20*E20</f>
        <v>6960000</v>
      </c>
      <c r="G20" s="5" t="s">
        <v>54</v>
      </c>
    </row>
    <row r="21" customFormat="false" ht="15" hidden="false" customHeight="false" outlineLevel="0" collapsed="false">
      <c r="A21" s="5" t="s">
        <v>55</v>
      </c>
      <c r="B21" s="5" t="s">
        <v>56</v>
      </c>
      <c r="C21" s="5" t="s">
        <v>17</v>
      </c>
      <c r="D21" s="5" t="n">
        <v>18500</v>
      </c>
      <c r="E21" s="6" t="n">
        <v>2800</v>
      </c>
      <c r="F21" s="6" t="n">
        <f aca="false">D21*E21</f>
        <v>51800000</v>
      </c>
      <c r="G21" s="5" t="s">
        <v>57</v>
      </c>
    </row>
    <row r="22" customFormat="false" ht="15" hidden="false" customHeight="false" outlineLevel="0" collapsed="false">
      <c r="A22" s="5" t="s">
        <v>58</v>
      </c>
      <c r="B22" s="5" t="s">
        <v>59</v>
      </c>
      <c r="C22" s="5" t="s">
        <v>17</v>
      </c>
      <c r="D22" s="5" t="n">
        <v>7200</v>
      </c>
      <c r="E22" s="6" t="n">
        <v>3800</v>
      </c>
      <c r="F22" s="6" t="n">
        <f aca="false">D22*E22</f>
        <v>27360000</v>
      </c>
      <c r="G22" s="5" t="s">
        <v>60</v>
      </c>
    </row>
    <row r="23" customFormat="false" ht="15" hidden="false" customHeight="false" outlineLevel="0" collapsed="false">
      <c r="A23" s="5" t="s">
        <v>61</v>
      </c>
      <c r="B23" s="5" t="s">
        <v>62</v>
      </c>
      <c r="C23" s="5" t="s">
        <v>17</v>
      </c>
      <c r="D23" s="5" t="n">
        <v>5600</v>
      </c>
      <c r="E23" s="6" t="n">
        <v>3100</v>
      </c>
      <c r="F23" s="6" t="n">
        <f aca="false">D23*E23</f>
        <v>17360000</v>
      </c>
      <c r="G23" s="5" t="s">
        <v>63</v>
      </c>
    </row>
    <row r="24" customFormat="false" ht="15" hidden="false" customHeight="false" outlineLevel="0" collapsed="false">
      <c r="A24" s="5" t="s">
        <v>64</v>
      </c>
      <c r="B24" s="5" t="s">
        <v>65</v>
      </c>
      <c r="C24" s="5" t="s">
        <v>13</v>
      </c>
      <c r="D24" s="5" t="n">
        <v>85000</v>
      </c>
      <c r="E24" s="6" t="n">
        <v>165</v>
      </c>
      <c r="F24" s="6" t="n">
        <f aca="false">D24*E24</f>
        <v>14025000</v>
      </c>
      <c r="G24" s="5" t="s">
        <v>66</v>
      </c>
    </row>
    <row r="25" customFormat="false" ht="15" hidden="false" customHeight="false" outlineLevel="0" collapsed="false">
      <c r="A25" s="5" t="s">
        <v>67</v>
      </c>
      <c r="B25" s="5" t="s">
        <v>68</v>
      </c>
      <c r="C25" s="5" t="s">
        <v>13</v>
      </c>
      <c r="D25" s="5" t="n">
        <v>42000</v>
      </c>
      <c r="E25" s="6" t="n">
        <v>195</v>
      </c>
      <c r="F25" s="6" t="n">
        <f aca="false">D25*E25</f>
        <v>8190000</v>
      </c>
      <c r="G25" s="5" t="s">
        <v>69</v>
      </c>
    </row>
    <row r="26" customFormat="false" ht="15" hidden="false" customHeight="false" outlineLevel="0" collapsed="false">
      <c r="A26" s="5" t="s">
        <v>70</v>
      </c>
      <c r="B26" s="5" t="s">
        <v>71</v>
      </c>
      <c r="C26" s="5" t="s">
        <v>72</v>
      </c>
      <c r="D26" s="5" t="n">
        <v>9500</v>
      </c>
      <c r="E26" s="6" t="n">
        <v>4200</v>
      </c>
      <c r="F26" s="6" t="n">
        <f aca="false">D26*E26</f>
        <v>39900000</v>
      </c>
      <c r="G26" s="5" t="s">
        <v>73</v>
      </c>
    </row>
    <row r="27" customFormat="false" ht="15" hidden="false" customHeight="false" outlineLevel="0" collapsed="false">
      <c r="A27" s="5" t="s">
        <v>74</v>
      </c>
      <c r="B27" s="5" t="s">
        <v>75</v>
      </c>
      <c r="C27" s="5" t="s">
        <v>72</v>
      </c>
      <c r="D27" s="5" t="n">
        <v>850</v>
      </c>
      <c r="E27" s="6" t="n">
        <v>18500</v>
      </c>
      <c r="F27" s="6" t="n">
        <f aca="false">D27*E27</f>
        <v>15725000</v>
      </c>
      <c r="G27" s="5" t="s">
        <v>76</v>
      </c>
    </row>
    <row r="28" customFormat="false" ht="15" hidden="false" customHeight="false" outlineLevel="0" collapsed="false">
      <c r="A28" s="4" t="s">
        <v>77</v>
      </c>
      <c r="B28" s="4"/>
      <c r="C28" s="4"/>
      <c r="D28" s="4"/>
      <c r="E28" s="4"/>
      <c r="F28" s="4"/>
      <c r="G28" s="4"/>
    </row>
    <row r="29" customFormat="false" ht="15" hidden="false" customHeight="false" outlineLevel="0" collapsed="false">
      <c r="A29" s="5" t="s">
        <v>78</v>
      </c>
      <c r="B29" s="5" t="s">
        <v>79</v>
      </c>
      <c r="C29" s="5" t="s">
        <v>27</v>
      </c>
      <c r="D29" s="5" t="n">
        <v>1</v>
      </c>
      <c r="E29" s="6" t="n">
        <v>8500000</v>
      </c>
      <c r="F29" s="6" t="n">
        <f aca="false">D29*E29</f>
        <v>8500000</v>
      </c>
      <c r="G29" s="5" t="s">
        <v>80</v>
      </c>
    </row>
    <row r="30" customFormat="false" ht="15" hidden="false" customHeight="false" outlineLevel="0" collapsed="false">
      <c r="A30" s="5" t="s">
        <v>81</v>
      </c>
      <c r="B30" s="5" t="s">
        <v>82</v>
      </c>
      <c r="C30" s="5" t="s">
        <v>27</v>
      </c>
      <c r="D30" s="5" t="n">
        <v>1</v>
      </c>
      <c r="E30" s="6" t="n">
        <v>6200000</v>
      </c>
      <c r="F30" s="6" t="n">
        <f aca="false">D30*E30</f>
        <v>6200000</v>
      </c>
      <c r="G30" s="5" t="s">
        <v>83</v>
      </c>
    </row>
    <row r="31" customFormat="false" ht="15" hidden="false" customHeight="false" outlineLevel="0" collapsed="false">
      <c r="A31" s="5" t="s">
        <v>84</v>
      </c>
      <c r="B31" s="5" t="s">
        <v>85</v>
      </c>
      <c r="C31" s="5" t="s">
        <v>86</v>
      </c>
      <c r="D31" s="5" t="n">
        <v>2</v>
      </c>
      <c r="E31" s="6" t="n">
        <v>1850000</v>
      </c>
      <c r="F31" s="6" t="n">
        <f aca="false">D31*E31</f>
        <v>3700000</v>
      </c>
      <c r="G31" s="5" t="s">
        <v>87</v>
      </c>
    </row>
    <row r="32" customFormat="false" ht="15" hidden="false" customHeight="false" outlineLevel="0" collapsed="false">
      <c r="A32" s="5" t="s">
        <v>88</v>
      </c>
      <c r="B32" s="5" t="s">
        <v>89</v>
      </c>
      <c r="C32" s="5" t="s">
        <v>90</v>
      </c>
      <c r="D32" s="5" t="n">
        <v>4</v>
      </c>
      <c r="E32" s="6" t="n">
        <v>620000</v>
      </c>
      <c r="F32" s="6" t="n">
        <f aca="false">D32*E32</f>
        <v>2480000</v>
      </c>
      <c r="G32" s="5" t="s">
        <v>91</v>
      </c>
    </row>
    <row r="33" customFormat="false" ht="15" hidden="false" customHeight="false" outlineLevel="0" collapsed="false">
      <c r="A33" s="5" t="s">
        <v>92</v>
      </c>
      <c r="B33" s="5" t="s">
        <v>93</v>
      </c>
      <c r="C33" s="5" t="s">
        <v>90</v>
      </c>
      <c r="D33" s="5" t="n">
        <v>85</v>
      </c>
      <c r="E33" s="6" t="n">
        <v>45000</v>
      </c>
      <c r="F33" s="6" t="n">
        <f aca="false">D33*E33</f>
        <v>3825000</v>
      </c>
      <c r="G33" s="5" t="s">
        <v>83</v>
      </c>
    </row>
    <row r="34" customFormat="false" ht="15" hidden="false" customHeight="false" outlineLevel="0" collapsed="false">
      <c r="A34" s="5" t="s">
        <v>94</v>
      </c>
      <c r="B34" s="5" t="s">
        <v>95</v>
      </c>
      <c r="C34" s="5" t="s">
        <v>90</v>
      </c>
      <c r="D34" s="5" t="n">
        <v>2</v>
      </c>
      <c r="E34" s="6" t="n">
        <v>2800000</v>
      </c>
      <c r="F34" s="6" t="n">
        <f aca="false">D34*E34</f>
        <v>5600000</v>
      </c>
      <c r="G34" s="5" t="s">
        <v>96</v>
      </c>
    </row>
    <row r="35" customFormat="false" ht="15" hidden="false" customHeight="false" outlineLevel="0" collapsed="false">
      <c r="A35" s="5" t="s">
        <v>97</v>
      </c>
      <c r="B35" s="5" t="s">
        <v>98</v>
      </c>
      <c r="C35" s="5" t="s">
        <v>27</v>
      </c>
      <c r="D35" s="5" t="n">
        <v>1</v>
      </c>
      <c r="E35" s="6" t="n">
        <v>4200000</v>
      </c>
      <c r="F35" s="6" t="n">
        <f aca="false">D35*E35</f>
        <v>4200000</v>
      </c>
      <c r="G35" s="5" t="s">
        <v>99</v>
      </c>
    </row>
    <row r="36" customFormat="false" ht="15" hidden="false" customHeight="false" outlineLevel="0" collapsed="false">
      <c r="A36" s="5" t="s">
        <v>100</v>
      </c>
      <c r="B36" s="5" t="s">
        <v>101</v>
      </c>
      <c r="C36" s="5" t="s">
        <v>27</v>
      </c>
      <c r="D36" s="5" t="n">
        <v>1</v>
      </c>
      <c r="E36" s="6" t="n">
        <v>1650000</v>
      </c>
      <c r="F36" s="6" t="n">
        <f aca="false">D36*E36</f>
        <v>1650000</v>
      </c>
      <c r="G36" s="5" t="s">
        <v>102</v>
      </c>
    </row>
    <row r="37" customFormat="false" ht="15" hidden="false" customHeight="false" outlineLevel="0" collapsed="false">
      <c r="A37" s="5" t="s">
        <v>103</v>
      </c>
      <c r="B37" s="5" t="s">
        <v>104</v>
      </c>
      <c r="C37" s="5" t="s">
        <v>27</v>
      </c>
      <c r="D37" s="5" t="n">
        <v>1</v>
      </c>
      <c r="E37" s="6" t="n">
        <v>3100000</v>
      </c>
      <c r="F37" s="6" t="n">
        <f aca="false">D37*E37</f>
        <v>3100000</v>
      </c>
      <c r="G37" s="5" t="s">
        <v>105</v>
      </c>
    </row>
    <row r="38" customFormat="false" ht="15" hidden="false" customHeight="false" outlineLevel="0" collapsed="false">
      <c r="A38" s="5" t="s">
        <v>106</v>
      </c>
      <c r="B38" s="5" t="s">
        <v>107</v>
      </c>
      <c r="C38" s="5" t="s">
        <v>27</v>
      </c>
      <c r="D38" s="5" t="n">
        <v>1</v>
      </c>
      <c r="E38" s="6" t="n">
        <v>2400000</v>
      </c>
      <c r="F38" s="6" t="n">
        <f aca="false">D38*E38</f>
        <v>2400000</v>
      </c>
      <c r="G38" s="5" t="s">
        <v>108</v>
      </c>
    </row>
    <row r="39" customFormat="false" ht="15" hidden="false" customHeight="false" outlineLevel="0" collapsed="false">
      <c r="A39" s="5" t="s">
        <v>109</v>
      </c>
      <c r="B39" s="5" t="s">
        <v>110</v>
      </c>
      <c r="C39" s="5" t="s">
        <v>90</v>
      </c>
      <c r="D39" s="5" t="n">
        <v>6</v>
      </c>
      <c r="E39" s="6" t="n">
        <v>2200000</v>
      </c>
      <c r="F39" s="6" t="n">
        <f aca="false">D39*E39</f>
        <v>13200000</v>
      </c>
      <c r="G39" s="5" t="s">
        <v>111</v>
      </c>
    </row>
    <row r="40" customFormat="false" ht="15" hidden="false" customHeight="false" outlineLevel="0" collapsed="false">
      <c r="A40" s="5" t="s">
        <v>112</v>
      </c>
      <c r="B40" s="5" t="s">
        <v>113</v>
      </c>
      <c r="C40" s="5" t="s">
        <v>90</v>
      </c>
      <c r="D40" s="5" t="n">
        <v>3</v>
      </c>
      <c r="E40" s="6" t="n">
        <v>980000</v>
      </c>
      <c r="F40" s="6" t="n">
        <f aca="false">D40*E40</f>
        <v>2940000</v>
      </c>
      <c r="G40" s="5" t="s">
        <v>114</v>
      </c>
    </row>
    <row r="41" customFormat="false" ht="15" hidden="false" customHeight="false" outlineLevel="0" collapsed="false">
      <c r="A41" s="5" t="s">
        <v>115</v>
      </c>
      <c r="B41" s="5" t="s">
        <v>116</v>
      </c>
      <c r="C41" s="5" t="s">
        <v>27</v>
      </c>
      <c r="D41" s="5" t="n">
        <v>1</v>
      </c>
      <c r="E41" s="6" t="n">
        <v>3500000</v>
      </c>
      <c r="F41" s="6" t="n">
        <f aca="false">D41*E41</f>
        <v>3500000</v>
      </c>
      <c r="G41" s="5" t="s">
        <v>117</v>
      </c>
    </row>
    <row r="42" customFormat="false" ht="15" hidden="false" customHeight="false" outlineLevel="0" collapsed="false">
      <c r="A42" s="4" t="s">
        <v>118</v>
      </c>
      <c r="B42" s="4"/>
      <c r="C42" s="4"/>
      <c r="D42" s="4"/>
      <c r="E42" s="4"/>
      <c r="F42" s="4"/>
      <c r="G42" s="4"/>
    </row>
    <row r="43" customFormat="false" ht="15" hidden="false" customHeight="false" outlineLevel="0" collapsed="false">
      <c r="A43" s="5" t="s">
        <v>119</v>
      </c>
      <c r="B43" s="5" t="s">
        <v>120</v>
      </c>
      <c r="C43" s="5" t="s">
        <v>13</v>
      </c>
      <c r="D43" s="5" t="n">
        <v>32000</v>
      </c>
      <c r="E43" s="6" t="n">
        <v>2850</v>
      </c>
      <c r="F43" s="6" t="n">
        <f aca="false">D43*E43</f>
        <v>91200000</v>
      </c>
      <c r="G43" s="5" t="s">
        <v>121</v>
      </c>
    </row>
    <row r="44" customFormat="false" ht="15" hidden="false" customHeight="false" outlineLevel="0" collapsed="false">
      <c r="A44" s="5" t="s">
        <v>122</v>
      </c>
      <c r="B44" s="5" t="s">
        <v>123</v>
      </c>
      <c r="C44" s="5" t="s">
        <v>13</v>
      </c>
      <c r="D44" s="5" t="n">
        <v>8500</v>
      </c>
      <c r="E44" s="6" t="n">
        <v>950</v>
      </c>
      <c r="F44" s="6" t="n">
        <f aca="false">D44*E44</f>
        <v>8075000</v>
      </c>
      <c r="G44" s="5" t="s">
        <v>124</v>
      </c>
    </row>
    <row r="45" customFormat="false" ht="15" hidden="false" customHeight="false" outlineLevel="0" collapsed="false">
      <c r="A45" s="5" t="s">
        <v>125</v>
      </c>
      <c r="B45" s="5" t="s">
        <v>126</v>
      </c>
      <c r="C45" s="5" t="s">
        <v>13</v>
      </c>
      <c r="D45" s="5" t="n">
        <v>4200</v>
      </c>
      <c r="E45" s="6" t="n">
        <v>1200</v>
      </c>
      <c r="F45" s="6" t="n">
        <f aca="false">D45*E45</f>
        <v>5040000</v>
      </c>
      <c r="G45" s="5" t="s">
        <v>127</v>
      </c>
    </row>
    <row r="46" customFormat="false" ht="15" hidden="false" customHeight="false" outlineLevel="0" collapsed="false">
      <c r="A46" s="5" t="s">
        <v>128</v>
      </c>
      <c r="B46" s="5" t="s">
        <v>129</v>
      </c>
      <c r="C46" s="5" t="s">
        <v>27</v>
      </c>
      <c r="D46" s="5" t="n">
        <v>1</v>
      </c>
      <c r="E46" s="6" t="n">
        <v>2800000</v>
      </c>
      <c r="F46" s="6" t="n">
        <f aca="false">D46*E46</f>
        <v>2800000</v>
      </c>
      <c r="G46" s="5" t="s">
        <v>130</v>
      </c>
    </row>
    <row r="47" customFormat="false" ht="15" hidden="false" customHeight="false" outlineLevel="0" collapsed="false">
      <c r="A47" s="5" t="s">
        <v>131</v>
      </c>
      <c r="B47" s="5" t="s">
        <v>132</v>
      </c>
      <c r="C47" s="5" t="s">
        <v>13</v>
      </c>
      <c r="D47" s="5" t="n">
        <v>18000</v>
      </c>
      <c r="E47" s="6" t="n">
        <v>280</v>
      </c>
      <c r="F47" s="6" t="n">
        <f aca="false">D47*E47</f>
        <v>5040000</v>
      </c>
      <c r="G47" s="5" t="s">
        <v>133</v>
      </c>
    </row>
    <row r="48" customFormat="false" ht="15" hidden="false" customHeight="false" outlineLevel="0" collapsed="false">
      <c r="A48" s="5" t="s">
        <v>134</v>
      </c>
      <c r="B48" s="5" t="s">
        <v>135</v>
      </c>
      <c r="C48" s="5" t="s">
        <v>31</v>
      </c>
      <c r="D48" s="5" t="n">
        <v>850</v>
      </c>
      <c r="E48" s="6" t="n">
        <v>1500</v>
      </c>
      <c r="F48" s="6" t="n">
        <f aca="false">D48*E48</f>
        <v>1275000</v>
      </c>
      <c r="G48" s="5" t="s">
        <v>136</v>
      </c>
    </row>
    <row r="49" customFormat="false" ht="15" hidden="false" customHeight="false" outlineLevel="0" collapsed="false">
      <c r="A49" s="4" t="s">
        <v>137</v>
      </c>
      <c r="B49" s="4"/>
      <c r="C49" s="4"/>
      <c r="D49" s="4"/>
      <c r="E49" s="4"/>
      <c r="F49" s="4"/>
      <c r="G49" s="4"/>
    </row>
    <row r="50" customFormat="false" ht="15" hidden="false" customHeight="false" outlineLevel="0" collapsed="false">
      <c r="A50" s="5" t="s">
        <v>138</v>
      </c>
      <c r="B50" s="5" t="s">
        <v>139</v>
      </c>
      <c r="C50" s="5" t="s">
        <v>27</v>
      </c>
      <c r="D50" s="5" t="n">
        <v>1</v>
      </c>
      <c r="E50" s="6" t="n">
        <v>4500000</v>
      </c>
      <c r="F50" s="6" t="n">
        <f aca="false">D50*E50</f>
        <v>4500000</v>
      </c>
      <c r="G50" s="5" t="s">
        <v>140</v>
      </c>
    </row>
    <row r="51" customFormat="false" ht="15" hidden="false" customHeight="false" outlineLevel="0" collapsed="false">
      <c r="A51" s="5" t="s">
        <v>141</v>
      </c>
      <c r="B51" s="5" t="s">
        <v>142</v>
      </c>
      <c r="C51" s="5" t="s">
        <v>143</v>
      </c>
      <c r="D51" s="5" t="n">
        <v>36</v>
      </c>
      <c r="E51" s="6" t="n">
        <v>280000</v>
      </c>
      <c r="F51" s="6" t="n">
        <f aca="false">D51*E51</f>
        <v>10080000</v>
      </c>
      <c r="G51" s="5" t="s">
        <v>144</v>
      </c>
    </row>
    <row r="52" customFormat="false" ht="15" hidden="false" customHeight="false" outlineLevel="0" collapsed="false">
      <c r="A52" s="5" t="s">
        <v>145</v>
      </c>
      <c r="B52" s="5" t="s">
        <v>146</v>
      </c>
      <c r="C52" s="5" t="s">
        <v>27</v>
      </c>
      <c r="D52" s="5" t="n">
        <v>1</v>
      </c>
      <c r="E52" s="6" t="n">
        <v>1200000</v>
      </c>
      <c r="F52" s="6" t="n">
        <f aca="false">D52*E52</f>
        <v>1200000</v>
      </c>
      <c r="G52" s="5" t="s">
        <v>147</v>
      </c>
    </row>
    <row r="53" customFormat="false" ht="15" hidden="false" customHeight="false" outlineLevel="0" collapsed="false">
      <c r="A53" s="5" t="s">
        <v>148</v>
      </c>
      <c r="B53" s="5" t="s">
        <v>149</v>
      </c>
      <c r="C53" s="5" t="s">
        <v>27</v>
      </c>
      <c r="D53" s="5" t="n">
        <v>1</v>
      </c>
      <c r="E53" s="6" t="n">
        <v>850000</v>
      </c>
      <c r="F53" s="6" t="n">
        <f aca="false">D53*E53</f>
        <v>850000</v>
      </c>
      <c r="G53" s="5" t="s">
        <v>150</v>
      </c>
    </row>
    <row r="54" customFormat="false" ht="15" hidden="false" customHeight="false" outlineLevel="0" collapsed="false">
      <c r="A54" s="5" t="s">
        <v>151</v>
      </c>
      <c r="B54" s="5" t="s">
        <v>152</v>
      </c>
      <c r="C54" s="5" t="s">
        <v>143</v>
      </c>
      <c r="D54" s="5" t="n">
        <v>36</v>
      </c>
      <c r="E54" s="6" t="n">
        <v>95000</v>
      </c>
      <c r="F54" s="6" t="n">
        <f aca="false">D54*E54</f>
        <v>3420000</v>
      </c>
      <c r="G54" s="5" t="s">
        <v>153</v>
      </c>
    </row>
    <row r="55" customFormat="false" ht="15" hidden="false" customHeight="false" outlineLevel="0" collapsed="false">
      <c r="A55" s="5" t="s">
        <v>154</v>
      </c>
      <c r="B55" s="5" t="s">
        <v>155</v>
      </c>
      <c r="C55" s="5" t="s">
        <v>27</v>
      </c>
      <c r="D55" s="5" t="n">
        <v>1</v>
      </c>
      <c r="E55" s="6" t="n">
        <v>1800000</v>
      </c>
      <c r="F55" s="6" t="n">
        <f aca="false">D55*E55</f>
        <v>1800000</v>
      </c>
      <c r="G55" s="5" t="s">
        <v>156</v>
      </c>
    </row>
    <row r="56" customFormat="false" ht="15" hidden="false" customHeight="false" outlineLevel="0" collapsed="false">
      <c r="A56" s="5" t="s">
        <v>157</v>
      </c>
      <c r="B56" s="5" t="s">
        <v>158</v>
      </c>
      <c r="C56" s="5" t="s">
        <v>143</v>
      </c>
      <c r="D56" s="5" t="n">
        <v>30</v>
      </c>
      <c r="E56" s="6" t="n">
        <v>180000</v>
      </c>
      <c r="F56" s="6" t="n">
        <f aca="false">D56*E56</f>
        <v>5400000</v>
      </c>
      <c r="G56" s="5" t="s">
        <v>159</v>
      </c>
    </row>
    <row r="57" customFormat="false" ht="15" hidden="false" customHeight="false" outlineLevel="0" collapsed="false">
      <c r="A57" s="5" t="s">
        <v>160</v>
      </c>
      <c r="B57" s="5" t="s">
        <v>161</v>
      </c>
      <c r="C57" s="5" t="s">
        <v>143</v>
      </c>
      <c r="D57" s="5" t="n">
        <v>24</v>
      </c>
      <c r="E57" s="6" t="n">
        <v>120000</v>
      </c>
      <c r="F57" s="6" t="n">
        <f aca="false">D57*E57</f>
        <v>2880000</v>
      </c>
      <c r="G57" s="5" t="s">
        <v>162</v>
      </c>
    </row>
    <row r="59" customFormat="false" ht="15" hidden="false" customHeight="false" outlineLevel="0" collapsed="false">
      <c r="E59" s="7" t="s">
        <v>163</v>
      </c>
      <c r="F59" s="8" t="n">
        <f aca="false">SUM(F7:F57)</f>
        <v>461359000</v>
      </c>
    </row>
    <row r="60" customFormat="false" ht="15" hidden="false" customHeight="false" outlineLevel="0" collapsed="false">
      <c r="E60" s="9" t="s">
        <v>164</v>
      </c>
      <c r="F60" s="10" t="n">
        <f aca="false">F59*0.15</f>
        <v>69203850</v>
      </c>
    </row>
    <row r="61" customFormat="false" ht="15" hidden="false" customHeight="false" outlineLevel="0" collapsed="false">
      <c r="E61" s="11" t="s">
        <v>165</v>
      </c>
      <c r="F61" s="12" t="n">
        <f aca="false">F59+F60</f>
        <v>530562850</v>
      </c>
    </row>
  </sheetData>
  <mergeCells count="8">
    <mergeCell ref="A1:G1"/>
    <mergeCell ref="A2:G2"/>
    <mergeCell ref="A3:G3"/>
    <mergeCell ref="A6:G6"/>
    <mergeCell ref="A17:G17"/>
    <mergeCell ref="A28:G28"/>
    <mergeCell ref="A42:G42"/>
    <mergeCell ref="A49:G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4" min="3" style="0" width="15"/>
    <col collapsed="false" customWidth="true" hidden="false" outlineLevel="0" max="5" min="5" style="0" width="16"/>
    <col collapsed="false" customWidth="true" hidden="false" outlineLevel="0" max="6" min="6" style="0" width="25"/>
    <col collapsed="false" customWidth="true" hidden="false" outlineLevel="0" max="7" min="7" style="0" width="15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166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3" t="s">
        <v>167</v>
      </c>
      <c r="B3" s="3" t="s">
        <v>168</v>
      </c>
      <c r="C3" s="3" t="s">
        <v>169</v>
      </c>
      <c r="D3" s="3" t="s">
        <v>170</v>
      </c>
      <c r="E3" s="3" t="s">
        <v>171</v>
      </c>
      <c r="F3" s="3" t="s">
        <v>172</v>
      </c>
      <c r="G3" s="3" t="s">
        <v>173</v>
      </c>
      <c r="H3" s="3" t="s">
        <v>174</v>
      </c>
    </row>
    <row r="4" customFormat="false" ht="15" hidden="false" customHeight="false" outlineLevel="0" collapsed="false">
      <c r="A4" s="5" t="s">
        <v>175</v>
      </c>
      <c r="B4" s="5" t="s">
        <v>176</v>
      </c>
      <c r="C4" s="5" t="s">
        <v>177</v>
      </c>
      <c r="D4" s="5" t="s">
        <v>178</v>
      </c>
      <c r="E4" s="5" t="n">
        <v>59</v>
      </c>
      <c r="F4" s="5" t="s">
        <v>179</v>
      </c>
      <c r="G4" s="5" t="s">
        <v>180</v>
      </c>
      <c r="H4" s="13" t="n">
        <v>1</v>
      </c>
    </row>
    <row r="5" customFormat="false" ht="15" hidden="false" customHeight="false" outlineLevel="0" collapsed="false">
      <c r="A5" s="5" t="s">
        <v>175</v>
      </c>
      <c r="B5" s="5" t="s">
        <v>181</v>
      </c>
      <c r="C5" s="5" t="s">
        <v>182</v>
      </c>
      <c r="D5" s="5" t="s">
        <v>183</v>
      </c>
      <c r="E5" s="5" t="n">
        <v>106</v>
      </c>
      <c r="F5" s="5" t="s">
        <v>184</v>
      </c>
      <c r="G5" s="5" t="s">
        <v>180</v>
      </c>
      <c r="H5" s="13" t="n">
        <v>1</v>
      </c>
    </row>
    <row r="6" customFormat="false" ht="15" hidden="false" customHeight="false" outlineLevel="0" collapsed="false">
      <c r="A6" s="5" t="s">
        <v>175</v>
      </c>
      <c r="B6" s="5" t="s">
        <v>185</v>
      </c>
      <c r="C6" s="5" t="s">
        <v>186</v>
      </c>
      <c r="D6" s="5" t="s">
        <v>187</v>
      </c>
      <c r="E6" s="5" t="n">
        <v>31</v>
      </c>
      <c r="F6" s="5" t="s">
        <v>188</v>
      </c>
      <c r="G6" s="5" t="s">
        <v>180</v>
      </c>
      <c r="H6" s="13" t="n">
        <v>1</v>
      </c>
    </row>
    <row r="7" customFormat="false" ht="15" hidden="false" customHeight="false" outlineLevel="0" collapsed="false">
      <c r="A7" s="5" t="s">
        <v>189</v>
      </c>
      <c r="B7" s="5" t="s">
        <v>190</v>
      </c>
      <c r="C7" s="5" t="s">
        <v>191</v>
      </c>
      <c r="D7" s="5" t="s">
        <v>192</v>
      </c>
      <c r="E7" s="5" t="n">
        <v>91</v>
      </c>
      <c r="F7" s="5" t="s">
        <v>193</v>
      </c>
      <c r="G7" s="5" t="s">
        <v>194</v>
      </c>
      <c r="H7" s="13" t="n">
        <v>0.75</v>
      </c>
    </row>
    <row r="8" customFormat="false" ht="15" hidden="false" customHeight="false" outlineLevel="0" collapsed="false">
      <c r="A8" s="5" t="s">
        <v>189</v>
      </c>
      <c r="B8" s="5" t="s">
        <v>195</v>
      </c>
      <c r="C8" s="5" t="s">
        <v>196</v>
      </c>
      <c r="D8" s="5" t="s">
        <v>197</v>
      </c>
      <c r="E8" s="5" t="n">
        <v>138</v>
      </c>
      <c r="F8" s="5" t="s">
        <v>198</v>
      </c>
      <c r="G8" s="5" t="s">
        <v>194</v>
      </c>
      <c r="H8" s="13" t="n">
        <v>0.6</v>
      </c>
    </row>
    <row r="9" customFormat="false" ht="15" hidden="false" customHeight="false" outlineLevel="0" collapsed="false">
      <c r="A9" s="5" t="s">
        <v>189</v>
      </c>
      <c r="B9" s="5" t="s">
        <v>199</v>
      </c>
      <c r="C9" s="5" t="s">
        <v>200</v>
      </c>
      <c r="D9" s="5" t="s">
        <v>201</v>
      </c>
      <c r="E9" s="5" t="n">
        <v>153</v>
      </c>
      <c r="F9" s="5" t="s">
        <v>202</v>
      </c>
      <c r="G9" s="5" t="s">
        <v>203</v>
      </c>
      <c r="H9" s="13" t="n">
        <v>0</v>
      </c>
    </row>
    <row r="10" customFormat="false" ht="15" hidden="false" customHeight="false" outlineLevel="0" collapsed="false">
      <c r="A10" s="5" t="s">
        <v>189</v>
      </c>
      <c r="B10" s="5" t="s">
        <v>204</v>
      </c>
      <c r="C10" s="5" t="s">
        <v>205</v>
      </c>
      <c r="D10" s="5" t="s">
        <v>206</v>
      </c>
      <c r="E10" s="5" t="n">
        <v>181</v>
      </c>
      <c r="F10" s="5" t="s">
        <v>207</v>
      </c>
      <c r="G10" s="5" t="s">
        <v>203</v>
      </c>
      <c r="H10" s="13" t="n">
        <v>0</v>
      </c>
    </row>
    <row r="11" customFormat="false" ht="15" hidden="false" customHeight="false" outlineLevel="0" collapsed="false">
      <c r="A11" s="5" t="s">
        <v>208</v>
      </c>
      <c r="B11" s="5" t="s">
        <v>209</v>
      </c>
      <c r="C11" s="5" t="s">
        <v>210</v>
      </c>
      <c r="D11" s="5" t="s">
        <v>211</v>
      </c>
      <c r="E11" s="5" t="n">
        <v>151</v>
      </c>
      <c r="F11" s="5" t="s">
        <v>212</v>
      </c>
      <c r="G11" s="5" t="s">
        <v>203</v>
      </c>
      <c r="H11" s="13" t="n">
        <v>0</v>
      </c>
    </row>
    <row r="12" customFormat="false" ht="15" hidden="false" customHeight="false" outlineLevel="0" collapsed="false">
      <c r="A12" s="5" t="s">
        <v>208</v>
      </c>
      <c r="B12" s="5" t="s">
        <v>213</v>
      </c>
      <c r="C12" s="5" t="s">
        <v>214</v>
      </c>
      <c r="D12" s="5" t="s">
        <v>215</v>
      </c>
      <c r="E12" s="5" t="n">
        <v>184</v>
      </c>
      <c r="F12" s="5" t="s">
        <v>216</v>
      </c>
      <c r="G12" s="5" t="s">
        <v>203</v>
      </c>
      <c r="H12" s="13" t="n">
        <v>0</v>
      </c>
    </row>
    <row r="13" customFormat="false" ht="15" hidden="false" customHeight="false" outlineLevel="0" collapsed="false">
      <c r="A13" s="5" t="s">
        <v>208</v>
      </c>
      <c r="B13" s="5" t="s">
        <v>217</v>
      </c>
      <c r="C13" s="5" t="s">
        <v>218</v>
      </c>
      <c r="D13" s="5" t="s">
        <v>219</v>
      </c>
      <c r="E13" s="5" t="n">
        <v>184</v>
      </c>
      <c r="F13" s="5" t="s">
        <v>220</v>
      </c>
      <c r="G13" s="5" t="s">
        <v>203</v>
      </c>
      <c r="H13" s="13" t="n">
        <v>0</v>
      </c>
    </row>
    <row r="14" customFormat="false" ht="15" hidden="false" customHeight="false" outlineLevel="0" collapsed="false">
      <c r="A14" s="5" t="s">
        <v>208</v>
      </c>
      <c r="B14" s="5" t="s">
        <v>221</v>
      </c>
      <c r="C14" s="5" t="s">
        <v>222</v>
      </c>
      <c r="D14" s="5" t="s">
        <v>223</v>
      </c>
      <c r="E14" s="5" t="n">
        <v>302</v>
      </c>
      <c r="F14" s="5" t="s">
        <v>224</v>
      </c>
      <c r="G14" s="5" t="s">
        <v>203</v>
      </c>
      <c r="H14" s="13" t="n">
        <v>0</v>
      </c>
    </row>
    <row r="15" customFormat="false" ht="15" hidden="false" customHeight="false" outlineLevel="0" collapsed="false">
      <c r="A15" s="5" t="s">
        <v>225</v>
      </c>
      <c r="B15" s="5" t="s">
        <v>226</v>
      </c>
      <c r="C15" s="5" t="s">
        <v>227</v>
      </c>
      <c r="D15" s="5" t="s">
        <v>228</v>
      </c>
      <c r="E15" s="5" t="n">
        <v>123</v>
      </c>
      <c r="F15" s="5" t="s">
        <v>229</v>
      </c>
      <c r="G15" s="5" t="s">
        <v>203</v>
      </c>
      <c r="H15" s="13" t="n">
        <v>0</v>
      </c>
    </row>
    <row r="16" customFormat="false" ht="15" hidden="false" customHeight="false" outlineLevel="0" collapsed="false">
      <c r="A16" s="5" t="s">
        <v>225</v>
      </c>
      <c r="B16" s="5" t="s">
        <v>230</v>
      </c>
      <c r="C16" s="5" t="s">
        <v>231</v>
      </c>
      <c r="D16" s="5" t="s">
        <v>232</v>
      </c>
      <c r="E16" s="5" t="n">
        <v>334</v>
      </c>
      <c r="F16" s="5" t="s">
        <v>233</v>
      </c>
      <c r="G16" s="5" t="s">
        <v>203</v>
      </c>
      <c r="H16" s="13" t="n">
        <v>0</v>
      </c>
    </row>
    <row r="17" customFormat="false" ht="15" hidden="false" customHeight="false" outlineLevel="0" collapsed="false">
      <c r="A17" s="5" t="s">
        <v>225</v>
      </c>
      <c r="B17" s="5" t="s">
        <v>234</v>
      </c>
      <c r="C17" s="5" t="s">
        <v>235</v>
      </c>
      <c r="D17" s="5" t="s">
        <v>236</v>
      </c>
      <c r="E17" s="5" t="n">
        <v>181</v>
      </c>
      <c r="F17" s="5" t="s">
        <v>237</v>
      </c>
      <c r="G17" s="5" t="s">
        <v>203</v>
      </c>
      <c r="H17" s="13" t="n">
        <v>0</v>
      </c>
    </row>
    <row r="18" customFormat="false" ht="15" hidden="false" customHeight="false" outlineLevel="0" collapsed="false">
      <c r="A18" s="5" t="s">
        <v>238</v>
      </c>
      <c r="B18" s="5" t="s">
        <v>239</v>
      </c>
      <c r="C18" s="5" t="s">
        <v>240</v>
      </c>
      <c r="D18" s="5" t="s">
        <v>241</v>
      </c>
      <c r="E18" s="5" t="n">
        <v>304</v>
      </c>
      <c r="F18" s="5" t="s">
        <v>242</v>
      </c>
      <c r="G18" s="5" t="s">
        <v>203</v>
      </c>
      <c r="H18" s="13" t="n">
        <v>0</v>
      </c>
    </row>
    <row r="19" customFormat="false" ht="15" hidden="false" customHeight="false" outlineLevel="0" collapsed="false">
      <c r="A19" s="5" t="s">
        <v>238</v>
      </c>
      <c r="B19" s="5" t="s">
        <v>243</v>
      </c>
      <c r="C19" s="5" t="s">
        <v>244</v>
      </c>
      <c r="D19" s="5" t="s">
        <v>236</v>
      </c>
      <c r="E19" s="5" t="n">
        <v>303</v>
      </c>
      <c r="F19" s="5" t="s">
        <v>245</v>
      </c>
      <c r="G19" s="5" t="s">
        <v>203</v>
      </c>
      <c r="H19" s="13" t="n">
        <v>0</v>
      </c>
    </row>
    <row r="20" customFormat="false" ht="15" hidden="false" customHeight="false" outlineLevel="0" collapsed="false">
      <c r="A20" s="5" t="s">
        <v>246</v>
      </c>
      <c r="B20" s="5" t="s">
        <v>247</v>
      </c>
      <c r="C20" s="5" t="s">
        <v>244</v>
      </c>
      <c r="D20" s="5" t="s">
        <v>248</v>
      </c>
      <c r="E20" s="5" t="n">
        <v>395</v>
      </c>
      <c r="F20" s="5" t="s">
        <v>249</v>
      </c>
      <c r="G20" s="5" t="s">
        <v>203</v>
      </c>
      <c r="H20" s="13" t="n">
        <v>0</v>
      </c>
    </row>
    <row r="21" customFormat="false" ht="15" hidden="false" customHeight="false" outlineLevel="0" collapsed="false">
      <c r="A21" s="5" t="s">
        <v>246</v>
      </c>
      <c r="B21" s="5" t="s">
        <v>250</v>
      </c>
      <c r="C21" s="5" t="s">
        <v>240</v>
      </c>
      <c r="D21" s="5" t="s">
        <v>251</v>
      </c>
      <c r="E21" s="5" t="n">
        <v>365</v>
      </c>
      <c r="F21" s="5" t="s">
        <v>252</v>
      </c>
      <c r="G21" s="5" t="s">
        <v>203</v>
      </c>
      <c r="H21" s="13" t="n">
        <v>0</v>
      </c>
    </row>
    <row r="22" customFormat="false" ht="15" hidden="false" customHeight="false" outlineLevel="0" collapsed="false">
      <c r="A22" s="5" t="s">
        <v>253</v>
      </c>
      <c r="B22" s="5" t="s">
        <v>254</v>
      </c>
      <c r="C22" s="5" t="s">
        <v>255</v>
      </c>
      <c r="D22" s="5" t="s">
        <v>248</v>
      </c>
      <c r="E22" s="5" t="n">
        <v>183</v>
      </c>
      <c r="F22" s="5" t="s">
        <v>256</v>
      </c>
      <c r="G22" s="5" t="s">
        <v>203</v>
      </c>
      <c r="H22" s="13" t="n">
        <v>0</v>
      </c>
    </row>
    <row r="23" customFormat="false" ht="15" hidden="false" customHeight="false" outlineLevel="0" collapsed="false">
      <c r="A23" s="5" t="s">
        <v>253</v>
      </c>
      <c r="B23" s="5" t="s">
        <v>257</v>
      </c>
      <c r="C23" s="5" t="s">
        <v>258</v>
      </c>
      <c r="D23" s="5" t="s">
        <v>259</v>
      </c>
      <c r="E23" s="5" t="n">
        <v>184</v>
      </c>
      <c r="F23" s="5" t="s">
        <v>260</v>
      </c>
      <c r="G23" s="5" t="s">
        <v>203</v>
      </c>
      <c r="H23" s="13" t="n">
        <v>0</v>
      </c>
    </row>
    <row r="24" customFormat="false" ht="15" hidden="false" customHeight="false" outlineLevel="0" collapsed="false">
      <c r="A24" s="5" t="s">
        <v>261</v>
      </c>
      <c r="B24" s="5" t="s">
        <v>262</v>
      </c>
      <c r="C24" s="5" t="s">
        <v>263</v>
      </c>
      <c r="D24" s="5" t="s">
        <v>264</v>
      </c>
      <c r="E24" s="5" t="n">
        <v>153</v>
      </c>
      <c r="F24" s="5" t="s">
        <v>265</v>
      </c>
      <c r="G24" s="5" t="s">
        <v>203</v>
      </c>
      <c r="H24" s="13" t="n">
        <v>0</v>
      </c>
    </row>
    <row r="25" customFormat="false" ht="15" hidden="false" customHeight="false" outlineLevel="0" collapsed="false">
      <c r="A25" s="5" t="s">
        <v>261</v>
      </c>
      <c r="B25" s="5" t="s">
        <v>266</v>
      </c>
      <c r="C25" s="5" t="s">
        <v>267</v>
      </c>
      <c r="D25" s="5" t="s">
        <v>268</v>
      </c>
      <c r="E25" s="5" t="n">
        <v>92</v>
      </c>
      <c r="F25" s="5" t="s">
        <v>269</v>
      </c>
      <c r="G25" s="5" t="s">
        <v>203</v>
      </c>
      <c r="H25" s="13" t="n">
        <v>0</v>
      </c>
    </row>
    <row r="26" customFormat="false" ht="15" hidden="false" customHeight="false" outlineLevel="0" collapsed="false">
      <c r="A26" s="5" t="s">
        <v>261</v>
      </c>
      <c r="B26" s="5" t="s">
        <v>270</v>
      </c>
      <c r="C26" s="5" t="s">
        <v>271</v>
      </c>
      <c r="D26" s="5" t="s">
        <v>272</v>
      </c>
      <c r="E26" s="5" t="n">
        <v>365</v>
      </c>
      <c r="F26" s="5" t="s">
        <v>273</v>
      </c>
      <c r="G26" s="5" t="s">
        <v>203</v>
      </c>
      <c r="H26" s="13" t="n">
        <v>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25"/>
    <col collapsed="false" customWidth="true" hidden="false" outlineLevel="0" max="4" min="4" style="0" width="20"/>
    <col collapsed="false" customWidth="true" hidden="false" outlineLevel="0" max="5" min="5" style="0" width="15"/>
  </cols>
  <sheetData>
    <row r="1" customFormat="false" ht="17.35" hidden="false" customHeight="false" outlineLevel="0" collapsed="false">
      <c r="A1" s="1" t="s">
        <v>274</v>
      </c>
      <c r="B1" s="1"/>
      <c r="C1" s="1"/>
      <c r="D1" s="1"/>
      <c r="E1" s="1"/>
    </row>
    <row r="3" customFormat="false" ht="26.85" hidden="false" customHeight="false" outlineLevel="0" collapsed="false">
      <c r="A3" s="3" t="s">
        <v>275</v>
      </c>
      <c r="B3" s="3" t="s">
        <v>276</v>
      </c>
      <c r="C3" s="3" t="s">
        <v>277</v>
      </c>
      <c r="D3" s="3" t="s">
        <v>278</v>
      </c>
      <c r="E3" s="3" t="s">
        <v>279</v>
      </c>
    </row>
    <row r="4" customFormat="false" ht="15" hidden="false" customHeight="false" outlineLevel="0" collapsed="false">
      <c r="A4" s="14" t="s">
        <v>280</v>
      </c>
      <c r="B4" s="15" t="n">
        <v>52850000</v>
      </c>
      <c r="C4" s="15" t="n">
        <v>54200000</v>
      </c>
      <c r="D4" s="15" t="n">
        <f aca="false">C4-B4</f>
        <v>1350000</v>
      </c>
      <c r="E4" s="16" t="n">
        <f aca="false">D4/B4</f>
        <v>0.0255439924314097</v>
      </c>
    </row>
    <row r="5" customFormat="false" ht="15" hidden="false" customHeight="false" outlineLevel="0" collapsed="false">
      <c r="A5" s="14" t="s">
        <v>281</v>
      </c>
      <c r="B5" s="15" t="n">
        <v>138500000</v>
      </c>
      <c r="C5" s="15" t="n">
        <v>141200000</v>
      </c>
      <c r="D5" s="15" t="n">
        <f aca="false">C5-B5</f>
        <v>2700000</v>
      </c>
      <c r="E5" s="16" t="n">
        <f aca="false">D5/B5</f>
        <v>0.0194945848375451</v>
      </c>
    </row>
    <row r="6" customFormat="false" ht="15" hidden="false" customHeight="false" outlineLevel="0" collapsed="false">
      <c r="A6" s="14" t="s">
        <v>282</v>
      </c>
      <c r="B6" s="15" t="n">
        <v>52350000</v>
      </c>
      <c r="C6" s="15" t="n">
        <v>50800000</v>
      </c>
      <c r="D6" s="15" t="n">
        <f aca="false">C6-B6</f>
        <v>-1550000</v>
      </c>
      <c r="E6" s="16" t="n">
        <f aca="false">D6/B6</f>
        <v>-0.0296084049665712</v>
      </c>
    </row>
    <row r="7" customFormat="false" ht="15" hidden="false" customHeight="false" outlineLevel="0" collapsed="false">
      <c r="A7" s="14" t="s">
        <v>283</v>
      </c>
      <c r="B7" s="15" t="n">
        <v>107530000</v>
      </c>
      <c r="C7" s="15" t="n">
        <v>109400000</v>
      </c>
      <c r="D7" s="15" t="n">
        <f aca="false">C7-B7</f>
        <v>1870000</v>
      </c>
      <c r="E7" s="16" t="n">
        <f aca="false">D7/B7</f>
        <v>0.0173904956756254</v>
      </c>
    </row>
    <row r="8" customFormat="false" ht="15" hidden="false" customHeight="false" outlineLevel="0" collapsed="false">
      <c r="A8" s="14" t="s">
        <v>284</v>
      </c>
      <c r="B8" s="15" t="n">
        <v>22830000</v>
      </c>
      <c r="C8" s="15" t="n">
        <v>23100000</v>
      </c>
      <c r="D8" s="15" t="n">
        <f aca="false">C8-B8</f>
        <v>270000</v>
      </c>
      <c r="E8" s="16" t="n">
        <f aca="false">D8/B8</f>
        <v>0.011826544021025</v>
      </c>
    </row>
    <row r="9" customFormat="false" ht="15" hidden="false" customHeight="false" outlineLevel="0" collapsed="false">
      <c r="A9" s="14" t="s">
        <v>285</v>
      </c>
      <c r="B9" s="15" t="n">
        <f aca="false">SUM(B4:B8)*0.05</f>
        <v>18703000</v>
      </c>
      <c r="C9" s="15" t="n">
        <f aca="false">SUM(C4:C8)*0.05</f>
        <v>18935000</v>
      </c>
      <c r="D9" s="15" t="n">
        <f aca="false">C9-B9</f>
        <v>232000</v>
      </c>
      <c r="E9" s="16" t="n">
        <f aca="false">D9/B9</f>
        <v>0.0124044270972571</v>
      </c>
    </row>
    <row r="10" customFormat="false" ht="15" hidden="false" customHeight="false" outlineLevel="0" collapsed="false">
      <c r="A10" s="14" t="s">
        <v>286</v>
      </c>
      <c r="B10" s="15" t="n">
        <v>8500000</v>
      </c>
      <c r="C10" s="15" t="n">
        <v>8500000</v>
      </c>
      <c r="D10" s="15" t="n">
        <f aca="false">C10-B10</f>
        <v>0</v>
      </c>
      <c r="E10" s="16" t="n">
        <f aca="false">D10/B10</f>
        <v>0</v>
      </c>
    </row>
    <row r="11" customFormat="false" ht="15" hidden="false" customHeight="false" outlineLevel="0" collapsed="false">
      <c r="A11" s="14" t="s">
        <v>287</v>
      </c>
      <c r="B11" s="15" t="n">
        <v>6200000</v>
      </c>
      <c r="C11" s="15" t="n">
        <v>6200000</v>
      </c>
      <c r="D11" s="15" t="n">
        <f aca="false">C11-B11</f>
        <v>0</v>
      </c>
      <c r="E11" s="16" t="n">
        <f aca="false">D11/B11</f>
        <v>0</v>
      </c>
    </row>
    <row r="12" customFormat="false" ht="15" hidden="false" customHeight="false" outlineLevel="0" collapsed="false">
      <c r="A12" s="17" t="s">
        <v>288</v>
      </c>
      <c r="B12" s="18" t="n">
        <f aca="false">SUM(B4:B11)</f>
        <v>407463000</v>
      </c>
      <c r="C12" s="18" t="n">
        <f aca="false">SUM(C4:C11)</f>
        <v>412335000</v>
      </c>
      <c r="D12" s="18" t="n">
        <f aca="false">C12-B12</f>
        <v>4872000</v>
      </c>
      <c r="E12" s="19" t="n">
        <f aca="false">D12/B12</f>
        <v>0.011956913879297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2026-04-27T09:50:54Z</dcterms:created>
  <dc:creator>openpyxl</dc:creator>
  <dc:description/>
  <dc:language>en-US</dc:language>
  <cp:lastModifiedBy/>
  <dcterms:modified xsi:type="dcterms:W3CDTF">2026-04-27T09:50:54Z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