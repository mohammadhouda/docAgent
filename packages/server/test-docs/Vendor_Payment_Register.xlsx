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dor_Pay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<sst xmlns="http://schemas.openxmlformats.org/spreadsheetml/2006/main" count="73" uniqueCount="61">
  <si>
    <t xml:space="preserve">VENDOR &amp; SUBCONTRACTOR PAYMENT REGISTER</t>
  </si>
  <si>
    <t xml:space="preserve">Reporting Period: Q1-Q2 2025  |  Issued by: Finance Dept., Najd Construction Co.</t>
  </si>
  <si>
    <t xml:space="preserve">Vendor ID</t>
  </si>
  <si>
    <t xml:space="preserve">Vendor Name</t>
  </si>
  <si>
    <t xml:space="preserve">Service Type</t>
  </si>
  <si>
    <t xml:space="preserve">Contract Value (SAR)</t>
  </si>
  <si>
    <t xml:space="preserve">Paid to Date (SAR)</t>
  </si>
  <si>
    <t xml:space="preserve">Outstanding (SAR)</t>
  </si>
  <si>
    <t xml:space="preserve">Last Payment Date</t>
  </si>
  <si>
    <t xml:space="preserve">Status</t>
  </si>
  <si>
    <t xml:space="preserve">V-1001</t>
  </si>
  <si>
    <t xml:space="preserve">Saudi Steel Industries</t>
  </si>
  <si>
    <t xml:space="preserve">Steel Reinforcement Supply</t>
  </si>
  <si>
    <t xml:space="preserve">Active</t>
  </si>
  <si>
    <t xml:space="preserve">V-1002</t>
  </si>
  <si>
    <t xml:space="preserve">Al-Khaleej Concrete Co.</t>
  </si>
  <si>
    <t xml:space="preserve">Ready-Mix Concrete</t>
  </si>
  <si>
    <t xml:space="preserve">V-1003</t>
  </si>
  <si>
    <t xml:space="preserve">Trane Saudi Arabia</t>
  </si>
  <si>
    <t xml:space="preserve">HVAC Equipment</t>
  </si>
  <si>
    <t xml:space="preserve">V-1004</t>
  </si>
  <si>
    <t xml:space="preserve">Schneider Electric KSA</t>
  </si>
  <si>
    <t xml:space="preserve">MEP Switchgear</t>
  </si>
  <si>
    <t xml:space="preserve">V-1005</t>
  </si>
  <si>
    <t xml:space="preserve">Otis Elevator Saudi</t>
  </si>
  <si>
    <t xml:space="preserve">Elevators - 8 units</t>
  </si>
  <si>
    <t xml:space="preserve">V-1006</t>
  </si>
  <si>
    <t xml:space="preserve">Glass Tech LLC</t>
  </si>
  <si>
    <t xml:space="preserve">Curtain Wall Glazing</t>
  </si>
  <si>
    <t xml:space="preserve">N/A</t>
  </si>
  <si>
    <t xml:space="preserve">Pending Mobilization</t>
  </si>
  <si>
    <t xml:space="preserve">V-1007</t>
  </si>
  <si>
    <t xml:space="preserve">Marble Italia Saudi</t>
  </si>
  <si>
    <t xml:space="preserve">Marble Supply &amp; Install</t>
  </si>
  <si>
    <t xml:space="preserve">V-1008</t>
  </si>
  <si>
    <t xml:space="preserve">Honeywell BMS Saudi</t>
  </si>
  <si>
    <t xml:space="preserve">Building Management System</t>
  </si>
  <si>
    <t xml:space="preserve">V-1009</t>
  </si>
  <si>
    <t xml:space="preserve">Gulf Fire Protection</t>
  </si>
  <si>
    <t xml:space="preserve">Fire Fighting Systems</t>
  </si>
  <si>
    <t xml:space="preserve">V-1010</t>
  </si>
  <si>
    <t xml:space="preserve">Riyadh Aluminium Works</t>
  </si>
  <si>
    <t xml:space="preserve">Cladding Panels</t>
  </si>
  <si>
    <t xml:space="preserve">V-1011</t>
  </si>
  <si>
    <t xml:space="preserve">Arabian Earthworks Co.</t>
  </si>
  <si>
    <t xml:space="preserve">Excavation &amp; Dewatering</t>
  </si>
  <si>
    <t xml:space="preserve">Completed</t>
  </si>
  <si>
    <t xml:space="preserve">V-1012</t>
  </si>
  <si>
    <t xml:space="preserve">PrimeMEP Solutions</t>
  </si>
  <si>
    <t xml:space="preserve">Plumbing &amp; Drainage</t>
  </si>
  <si>
    <t xml:space="preserve">V-1013</t>
  </si>
  <si>
    <t xml:space="preserve">Najd Painters &amp; Finishers</t>
  </si>
  <si>
    <t xml:space="preserve">Painting &amp; Finishes</t>
  </si>
  <si>
    <t xml:space="preserve">Awaiting Start</t>
  </si>
  <si>
    <t xml:space="preserve">V-1014</t>
  </si>
  <si>
    <t xml:space="preserve">Al-Faisal Logistics</t>
  </si>
  <si>
    <t xml:space="preserve">Site Logistics &amp; Cranes</t>
  </si>
  <si>
    <t xml:space="preserve">V-1015</t>
  </si>
  <si>
    <t xml:space="preserve">ProSafe Consultants</t>
  </si>
  <si>
    <t xml:space="preserve">HSE Consultancy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</si>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</sst>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6A1B9A"/>
        <bgColor rgb="FF80008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28"/>
    <col collapsed="false" customWidth="true" hidden="false" outlineLevel="0" max="5" min="4" style="0" width="20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 t="s">
        <v>11</v>
      </c>
      <c r="C5" s="4" t="s">
        <v>12</v>
      </c>
      <c r="D5" s="5" t="n">
        <v>7862500</v>
      </c>
      <c r="E5" s="5" t="n">
        <v>5400000</v>
      </c>
      <c r="F5" s="5" t="n">
        <f aca="false">D5-E5</f>
        <v>2462500</v>
      </c>
      <c r="G5" s="6" t="n">
        <v>45823</v>
      </c>
      <c r="H5" s="4" t="s">
        <v>13</v>
      </c>
    </row>
    <row r="6" customFormat="false" ht="15" hidden="false" customHeight="false" outlineLevel="0" collapsed="false">
      <c r="A6" s="4" t="s">
        <v>14</v>
      </c>
      <c r="B6" s="4" t="s">
        <v>15</v>
      </c>
      <c r="C6" s="4" t="s">
        <v>16</v>
      </c>
      <c r="D6" s="5" t="n">
        <v>12350000</v>
      </c>
      <c r="E6" s="5" t="n">
        <v>8200000</v>
      </c>
      <c r="F6" s="5" t="n">
        <f aca="false">D6-E6</f>
        <v>4150000</v>
      </c>
      <c r="G6" s="6" t="n">
        <v>45839</v>
      </c>
      <c r="H6" s="4" t="s">
        <v>13</v>
      </c>
    </row>
    <row r="7" customFormat="false" ht="15" hidden="false" customHeight="false" outlineLevel="0" collapsed="false">
      <c r="A7" s="4" t="s">
        <v>17</v>
      </c>
      <c r="B7" s="4" t="s">
        <v>18</v>
      </c>
      <c r="C7" s="4" t="s">
        <v>19</v>
      </c>
      <c r="D7" s="5" t="n">
        <v>14250000</v>
      </c>
      <c r="E7" s="5" t="n">
        <v>9500000</v>
      </c>
      <c r="F7" s="5" t="n">
        <f aca="false">D7-E7</f>
        <v>4750000</v>
      </c>
      <c r="G7" s="6" t="n">
        <v>45828</v>
      </c>
      <c r="H7" s="4" t="s">
        <v>13</v>
      </c>
    </row>
    <row r="8" customFormat="false" ht="15" hidden="false" customHeight="false" outlineLevel="0" collapsed="false">
      <c r="A8" s="4" t="s">
        <v>20</v>
      </c>
      <c r="B8" s="4" t="s">
        <v>21</v>
      </c>
      <c r="C8" s="4" t="s">
        <v>22</v>
      </c>
      <c r="D8" s="5" t="n">
        <v>8650000</v>
      </c>
      <c r="E8" s="5" t="n">
        <v>4800000</v>
      </c>
      <c r="F8" s="5" t="n">
        <f aca="false">D8-E8</f>
        <v>3850000</v>
      </c>
      <c r="G8" s="6" t="n">
        <v>45833</v>
      </c>
      <c r="H8" s="4" t="s">
        <v>13</v>
      </c>
    </row>
    <row r="9" customFormat="false" ht="15" hidden="false" customHeight="false" outlineLevel="0" collapsed="false">
      <c r="A9" s="4" t="s">
        <v>23</v>
      </c>
      <c r="B9" s="4" t="s">
        <v>24</v>
      </c>
      <c r="C9" s="4" t="s">
        <v>25</v>
      </c>
      <c r="D9" s="5" t="n">
        <v>11600000</v>
      </c>
      <c r="E9" s="5" t="n">
        <v>5800000</v>
      </c>
      <c r="F9" s="5" t="n">
        <f aca="false">D9-E9</f>
        <v>5800000</v>
      </c>
      <c r="G9" s="6" t="n">
        <v>45807</v>
      </c>
      <c r="H9" s="4" t="s">
        <v>13</v>
      </c>
    </row>
    <row r="10" customFormat="false" ht="15" hidden="false" customHeight="false" outlineLevel="0" collapsed="false">
      <c r="A10" s="4" t="s">
        <v>26</v>
      </c>
      <c r="B10" s="4" t="s">
        <v>27</v>
      </c>
      <c r="C10" s="4" t="s">
        <v>28</v>
      </c>
      <c r="D10" s="5" t="n">
        <v>18500000</v>
      </c>
      <c r="E10" s="5" t="n">
        <v>0</v>
      </c>
      <c r="F10" s="5" t="n">
        <f aca="false">D10-E10</f>
        <v>18500000</v>
      </c>
      <c r="G10" s="4" t="s">
        <v>29</v>
      </c>
      <c r="H10" s="4" t="s">
        <v>30</v>
      </c>
    </row>
    <row r="11" customFormat="false" ht="15" hidden="false" customHeight="false" outlineLevel="0" collapsed="false">
      <c r="A11" s="4" t="s">
        <v>31</v>
      </c>
      <c r="B11" s="4" t="s">
        <v>32</v>
      </c>
      <c r="C11" s="4" t="s">
        <v>33</v>
      </c>
      <c r="D11" s="5" t="n">
        <v>2040000</v>
      </c>
      <c r="E11" s="5" t="n">
        <v>1020000</v>
      </c>
      <c r="F11" s="5" t="n">
        <f aca="false">D11-E11</f>
        <v>1020000</v>
      </c>
      <c r="G11" s="6" t="n">
        <v>45818</v>
      </c>
      <c r="H11" s="4" t="s">
        <v>13</v>
      </c>
    </row>
    <row r="12" customFormat="false" ht="15" hidden="false" customHeight="false" outlineLevel="0" collapsed="false">
      <c r="A12" s="4" t="s">
        <v>34</v>
      </c>
      <c r="B12" s="4" t="s">
        <v>35</v>
      </c>
      <c r="C12" s="4" t="s">
        <v>36</v>
      </c>
      <c r="D12" s="5" t="n">
        <v>1685000</v>
      </c>
      <c r="E12" s="5" t="n">
        <v>850000</v>
      </c>
      <c r="F12" s="5" t="n">
        <f aca="false">D12-E12</f>
        <v>835000</v>
      </c>
      <c r="G12" s="6" t="n">
        <v>45838</v>
      </c>
      <c r="H12" s="4" t="s">
        <v>13</v>
      </c>
    </row>
    <row r="13" customFormat="false" ht="15" hidden="false" customHeight="false" outlineLevel="0" collapsed="false">
      <c r="A13" s="4" t="s">
        <v>37</v>
      </c>
      <c r="B13" s="4" t="s">
        <v>38</v>
      </c>
      <c r="C13" s="4" t="s">
        <v>39</v>
      </c>
      <c r="D13" s="5" t="n">
        <v>3850000</v>
      </c>
      <c r="E13" s="5" t="n">
        <v>1200000</v>
      </c>
      <c r="F13" s="5" t="n">
        <f aca="false">D13-E13</f>
        <v>2650000</v>
      </c>
      <c r="G13" s="6" t="n">
        <v>45792</v>
      </c>
      <c r="H13" s="4" t="s">
        <v>13</v>
      </c>
    </row>
    <row r="14" customFormat="false" ht="15" hidden="false" customHeight="false" outlineLevel="0" collapsed="false">
      <c r="A14" s="4" t="s">
        <v>40</v>
      </c>
      <c r="B14" s="4" t="s">
        <v>41</v>
      </c>
      <c r="C14" s="4" t="s">
        <v>42</v>
      </c>
      <c r="D14" s="5" t="n">
        <v>7750000</v>
      </c>
      <c r="E14" s="5" t="n">
        <v>3200000</v>
      </c>
      <c r="F14" s="5" t="n">
        <f aca="false">D14-E14</f>
        <v>4550000</v>
      </c>
      <c r="G14" s="6" t="n">
        <v>45830</v>
      </c>
      <c r="H14" s="4" t="s">
        <v>13</v>
      </c>
    </row>
    <row r="15" customFormat="false" ht="15" hidden="false" customHeight="false" outlineLevel="0" collapsed="false">
      <c r="A15" s="4" t="s">
        <v>43</v>
      </c>
      <c r="B15" s="4" t="s">
        <v>44</v>
      </c>
      <c r="C15" s="4" t="s">
        <v>45</v>
      </c>
      <c r="D15" s="5" t="n">
        <v>3525000</v>
      </c>
      <c r="E15" s="5" t="n">
        <v>3525000</v>
      </c>
      <c r="F15" s="5" t="n">
        <f aca="false">D15-E15</f>
        <v>0</v>
      </c>
      <c r="G15" s="6" t="n">
        <v>45777</v>
      </c>
      <c r="H15" s="4" t="s">
        <v>46</v>
      </c>
    </row>
    <row r="16" customFormat="false" ht="15" hidden="false" customHeight="false" outlineLevel="0" collapsed="false">
      <c r="A16" s="4" t="s">
        <v>47</v>
      </c>
      <c r="B16" s="4" t="s">
        <v>48</v>
      </c>
      <c r="C16" s="4" t="s">
        <v>49</v>
      </c>
      <c r="D16" s="5" t="n">
        <v>2940000</v>
      </c>
      <c r="E16" s="5" t="n">
        <v>980000</v>
      </c>
      <c r="F16" s="5" t="n">
        <f aca="false">D16-E16</f>
        <v>1960000</v>
      </c>
      <c r="G16" s="6" t="n">
        <v>45813</v>
      </c>
      <c r="H16" s="4" t="s">
        <v>13</v>
      </c>
    </row>
    <row r="17" customFormat="false" ht="15" hidden="false" customHeight="false" outlineLevel="0" collapsed="false">
      <c r="A17" s="4" t="s">
        <v>50</v>
      </c>
      <c r="B17" s="4" t="s">
        <v>51</v>
      </c>
      <c r="C17" s="4" t="s">
        <v>52</v>
      </c>
      <c r="D17" s="5" t="n">
        <v>4250000</v>
      </c>
      <c r="E17" s="5" t="n">
        <v>0</v>
      </c>
      <c r="F17" s="5" t="n">
        <f aca="false">D17-E17</f>
        <v>4250000</v>
      </c>
      <c r="G17" s="4" t="s">
        <v>29</v>
      </c>
      <c r="H17" s="4" t="s">
        <v>53</v>
      </c>
    </row>
    <row r="18" customFormat="false" ht="15" hidden="false" customHeight="false" outlineLevel="0" collapsed="false">
      <c r="A18" s="4" t="s">
        <v>54</v>
      </c>
      <c r="B18" s="4" t="s">
        <v>55</v>
      </c>
      <c r="C18" s="4" t="s">
        <v>56</v>
      </c>
      <c r="D18" s="5" t="n">
        <v>1680000</v>
      </c>
      <c r="E18" s="5" t="n">
        <v>1100000</v>
      </c>
      <c r="F18" s="5" t="n">
        <f aca="false">D18-E18</f>
        <v>580000</v>
      </c>
      <c r="G18" s="6" t="n">
        <v>45843</v>
      </c>
      <c r="H18" s="4" t="s">
        <v>13</v>
      </c>
    </row>
    <row r="19" customFormat="false" ht="15" hidden="false" customHeight="false" outlineLevel="0" collapsed="false">
      <c r="A19" s="4" t="s">
        <v>57</v>
      </c>
      <c r="B19" s="4" t="s">
        <v>58</v>
      </c>
      <c r="C19" s="4" t="s">
        <v>59</v>
      </c>
      <c r="D19" s="5" t="n">
        <v>720000</v>
      </c>
      <c r="E19" s="5" t="n">
        <v>480000</v>
      </c>
      <c r="F19" s="5" t="n">
        <f aca="false">D19-E19</f>
        <v>240000</v>
      </c>
      <c r="G19" s="6" t="n">
        <v>45839</v>
      </c>
      <c r="H19" s="4" t="s">
        <v>13</v>
      </c>
    </row>
    <row r="20" customFormat="false" ht="15" hidden="false" customHeight="false" outlineLevel="0" collapsed="false">
      <c r="B20" s="7" t="s">
        <v>60</v>
      </c>
      <c r="D20" s="8" t="n">
        <f aca="false">SUM(D5:D19)</f>
        <v>101652500</v>
      </c>
      <c r="E20" s="8" t="n">
        <f aca="false">SUM(E5:E19)</f>
        <v>46055000</v>
      </c>
      <c r="F20" s="8" t="n">
        <f aca="false">SUM(F5:F19)</f>
        <v>55597500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2026-04-29T17:39:13Z</dcterms:created>
  <dc:creator>openpyxl</dc:creator>
  <dc:description/>
  <dc:language>en-US</dc:language>
  <cp:lastModifiedBy/>
  <dcterms:modified xsi:type="dcterms:W3CDTF">2026-04-29T17:39:13Z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