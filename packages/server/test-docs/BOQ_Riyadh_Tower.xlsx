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BOQ_Items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<sst xmlns="http://schemas.openxmlformats.org/spreadsheetml/2006/main" count="141" uniqueCount="96">
  <si>
    <t xml:space="preserve">BILL OF QUANTITIES (BOQ)</t>
  </si>
  <si>
    <t xml:space="preserve">Project Name:</t>
  </si>
  <si>
    <t xml:space="preserve">Riyadh Business Tower - Phase 1</t>
  </si>
  <si>
    <t xml:space="preserve">Project Code:</t>
  </si>
  <si>
    <t xml:space="preserve">RBT-2025-001</t>
  </si>
  <si>
    <t xml:space="preserve">Client:</t>
  </si>
  <si>
    <t xml:space="preserve">Al-Faisal Holdings Ltd.</t>
  </si>
  <si>
    <t xml:space="preserve">Contractor:</t>
  </si>
  <si>
    <t xml:space="preserve">Najd Construction Co.</t>
  </si>
  <si>
    <t xml:space="preserve">Location:</t>
  </si>
  <si>
    <t xml:space="preserve">King Fahd Road, Riyadh, KSA</t>
  </si>
  <si>
    <t xml:space="preserve">Contract Date:</t>
  </si>
  <si>
    <t xml:space="preserve">15-Feb-2025</t>
  </si>
  <si>
    <t xml:space="preserve">Duration:</t>
  </si>
  <si>
    <t xml:space="preserve">24 months</t>
  </si>
  <si>
    <t xml:space="preserve">Currency:</t>
  </si>
  <si>
    <t xml:space="preserve">Saudi Riyal (SAR)</t>
  </si>
  <si>
    <t xml:space="preserve">Total Contract Value:</t>
  </si>
  <si>
    <t xml:space="preserve">SAR 187,450,000</t>
  </si>
  <si>
    <t xml:space="preserve">Document Version:</t>
  </si>
  <si>
    <t xml:space="preserve">Rev. 3 - Final</t>
  </si>
  <si>
    <t xml:space="preserve">Item No.</t>
  </si>
  <si>
    <t xml:space="preserve">Description</t>
  </si>
  <si>
    <t xml:space="preserve">Unit</t>
  </si>
  <si>
    <t xml:space="preserve">Quantity</t>
  </si>
  <si>
    <t xml:space="preserve">Unit Rate (SAR)</t>
  </si>
  <si>
    <t xml:space="preserve">Total Amount (SAR)</t>
  </si>
  <si>
    <t xml:space="preserve">Category</t>
  </si>
  <si>
    <t xml:space="preserve">1.01</t>
  </si>
  <si>
    <t xml:space="preserve">Site clearance and removal of existing structures</t>
  </si>
  <si>
    <t xml:space="preserve">LS</t>
  </si>
  <si>
    <t xml:space="preserve">Site Works</t>
  </si>
  <si>
    <t xml:space="preserve">1.02</t>
  </si>
  <si>
    <t xml:space="preserve">Excavation for foundations up to 8m depth</t>
  </si>
  <si>
    <t xml:space="preserve">m3</t>
  </si>
  <si>
    <t xml:space="preserve">1.03</t>
  </si>
  <si>
    <t xml:space="preserve">Dewatering during excavation works</t>
  </si>
  <si>
    <t xml:space="preserve">month</t>
  </si>
  <si>
    <t xml:space="preserve">2.01</t>
  </si>
  <si>
    <t xml:space="preserve">Reinforced concrete for raft foundation, Grade C40</t>
  </si>
  <si>
    <t xml:space="preserve">Concrete &amp; Foundation</t>
  </si>
  <si>
    <t xml:space="preserve">2.02</t>
  </si>
  <si>
    <t xml:space="preserve">Steel reinforcement bars Grade 60, supply &amp; install</t>
  </si>
  <si>
    <t xml:space="preserve">ton</t>
  </si>
  <si>
    <t xml:space="preserve">2.03</t>
  </si>
  <si>
    <t xml:space="preserve">Concrete for columns and shear walls, Grade C50</t>
  </si>
  <si>
    <t xml:space="preserve">2.04</t>
  </si>
  <si>
    <t xml:space="preserve">Concrete slabs (post-tensioned), Grade C45</t>
  </si>
  <si>
    <t xml:space="preserve">3.01</t>
  </si>
  <si>
    <t xml:space="preserve">Structural steel framework (roof and atrium)</t>
  </si>
  <si>
    <t xml:space="preserve">Structural &amp; Facade</t>
  </si>
  <si>
    <t xml:space="preserve">3.02</t>
  </si>
  <si>
    <t xml:space="preserve">Curtain wall glazing system, double glazed low-E</t>
  </si>
  <si>
    <t xml:space="preserve">m2</t>
  </si>
  <si>
    <t xml:space="preserve">3.03</t>
  </si>
  <si>
    <t xml:space="preserve">Aluminum cladding panels with insulation</t>
  </si>
  <si>
    <t xml:space="preserve">4.01</t>
  </si>
  <si>
    <t xml:space="preserve">MEP - HVAC central chiller plant (3000 TR)</t>
  </si>
  <si>
    <t xml:space="preserve">MEP</t>
  </si>
  <si>
    <t xml:space="preserve">4.02</t>
  </si>
  <si>
    <t xml:space="preserve">MEP - Electrical main switchgear and transformers</t>
  </si>
  <si>
    <t xml:space="preserve">4.03</t>
  </si>
  <si>
    <t xml:space="preserve">MEP - Fire fighting system (sprinklers + FM200)</t>
  </si>
  <si>
    <t xml:space="preserve">4.04</t>
  </si>
  <si>
    <t xml:space="preserve">MEP - Plumbing and drainage system</t>
  </si>
  <si>
    <t xml:space="preserve">4.05</t>
  </si>
  <si>
    <t xml:space="preserve">MEP - Building Management System (BMS)</t>
  </si>
  <si>
    <t xml:space="preserve">4.06</t>
  </si>
  <si>
    <t xml:space="preserve">MEP - Elevators (high-speed, 8 units)</t>
  </si>
  <si>
    <t xml:space="preserve">no</t>
  </si>
  <si>
    <t xml:space="preserve">5.01</t>
  </si>
  <si>
    <t xml:space="preserve">Internal partitions - gypsum board with metal stud</t>
  </si>
  <si>
    <t xml:space="preserve">Finishes</t>
  </si>
  <si>
    <t xml:space="preserve">5.02</t>
  </si>
  <si>
    <t xml:space="preserve">Floor finishes - imported marble (lobby &amp; atrium)</t>
  </si>
  <si>
    <t xml:space="preserve">5.03</t>
  </si>
  <si>
    <t xml:space="preserve">Floor finishes - porcelain tiles (offices)</t>
  </si>
  <si>
    <t xml:space="preserve">5.04</t>
  </si>
  <si>
    <t xml:space="preserve">Suspended ceiling - mineral fiber acoustic tiles</t>
  </si>
  <si>
    <t xml:space="preserve">5.05</t>
  </si>
  <si>
    <t xml:space="preserve">Painting - emulsion paint on internal walls</t>
  </si>
  <si>
    <t xml:space="preserve">6.01</t>
  </si>
  <si>
    <t xml:space="preserve">External landscaping and hardscaping</t>
  </si>
  <si>
    <t xml:space="preserve">External Works</t>
  </si>
  <si>
    <t xml:space="preserve">6.02</t>
  </si>
  <si>
    <t xml:space="preserve">Parking structure - 3 basement levels</t>
  </si>
  <si>
    <t xml:space="preserve">7.01</t>
  </si>
  <si>
    <t xml:space="preserve">Project management and site supervision</t>
  </si>
  <si>
    <t xml:space="preserve">Preliminaries</t>
  </si>
  <si>
    <t xml:space="preserve">7.02</t>
  </si>
  <si>
    <t xml:space="preserve">Insurance, bonds and statutory permits</t>
  </si>
  <si>
    <t xml:space="preserve">TOTAL</t>
  </si>
  <si>
    <t xml:space="preserve">SUMMARY BY CATEGORY</t>
  </si>
  <si>
    <t xml:space="preserve">Total (SAR)</t>
  </si>
  <si>
    <t xml:space="preserve">% of Project</t>
  </si>
  <si>
    <t xml:space="preserve">GRAND 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</si>
</sst>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00"/>
    <numFmt numFmtId="167" formatCode="0.0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E699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2"/>
  </cols>
  <sheetData>
    <row r="1" customFormat="false" ht="36" hidden="false" customHeight="tru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</row>
    <row r="8" customFormat="false" ht="15" hidden="false" customHeight="false" outlineLevel="0" collapsed="false">
      <c r="A8" s="2" t="s">
        <v>11</v>
      </c>
      <c r="B8" s="3" t="s">
        <v>12</v>
      </c>
    </row>
    <row r="9" customFormat="false" ht="15" hidden="false" customHeight="false" outlineLevel="0" collapsed="false">
      <c r="A9" s="2" t="s">
        <v>13</v>
      </c>
      <c r="B9" s="3" t="s">
        <v>14</v>
      </c>
    </row>
    <row r="10" customFormat="false" ht="15" hidden="false" customHeight="false" outlineLevel="0" collapsed="false">
      <c r="A10" s="2" t="s">
        <v>15</v>
      </c>
      <c r="B10" s="3" t="s">
        <v>16</v>
      </c>
    </row>
    <row r="11" customFormat="false" ht="15" hidden="false" customHeight="false" outlineLevel="0" collapsed="false">
      <c r="A11" s="2" t="s">
        <v>17</v>
      </c>
      <c r="B11" s="3" t="s">
        <v>18</v>
      </c>
    </row>
    <row r="12" customFormat="false" ht="15" hidden="false" customHeight="false" outlineLevel="0" collapsed="false">
      <c r="A12" s="2" t="s">
        <v>19</v>
      </c>
      <c r="B12" s="3" t="s">
        <v>20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0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20"/>
    <col collapsed="false" customWidth="true" hidden="false" outlineLevel="0" max="7" min="7" style="0" width="22"/>
  </cols>
  <sheetData>
    <row r="1" customFormat="false" ht="31.5" hidden="false" customHeight="true" outlineLevel="0" collapsed="false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  <c r="F1" s="4" t="s">
        <v>26</v>
      </c>
      <c r="G1" s="4" t="s">
        <v>27</v>
      </c>
    </row>
    <row r="2" customFormat="false" ht="15" hidden="false" customHeight="false" outlineLevel="0" collapsed="false">
      <c r="A2" s="5" t="s">
        <v>28</v>
      </c>
      <c r="B2" s="5" t="s">
        <v>29</v>
      </c>
      <c r="C2" s="5" t="s">
        <v>30</v>
      </c>
      <c r="D2" s="6" t="n">
        <v>1</v>
      </c>
      <c r="E2" s="7" t="n">
        <v>850000</v>
      </c>
      <c r="F2" s="7" t="n">
        <f aca="false">D2*E2</f>
        <v>850000</v>
      </c>
      <c r="G2" s="5" t="s">
        <v>31</v>
      </c>
    </row>
    <row r="3" customFormat="false" ht="15" hidden="false" customHeight="false" outlineLevel="0" collapsed="false">
      <c r="A3" s="5" t="s">
        <v>32</v>
      </c>
      <c r="B3" s="5" t="s">
        <v>33</v>
      </c>
      <c r="C3" s="5" t="s">
        <v>34</v>
      </c>
      <c r="D3" s="6" t="n">
        <v>12500</v>
      </c>
      <c r="E3" s="7" t="n">
        <v>145</v>
      </c>
      <c r="F3" s="7" t="n">
        <f aca="false">D3*E3</f>
        <v>1812500</v>
      </c>
      <c r="G3" s="5" t="s">
        <v>31</v>
      </c>
    </row>
    <row r="4" customFormat="false" ht="15" hidden="false" customHeight="false" outlineLevel="0" collapsed="false">
      <c r="A4" s="5" t="s">
        <v>35</v>
      </c>
      <c r="B4" s="5" t="s">
        <v>36</v>
      </c>
      <c r="C4" s="5" t="s">
        <v>37</v>
      </c>
      <c r="D4" s="6" t="n">
        <v>18</v>
      </c>
      <c r="E4" s="7" t="n">
        <v>95000</v>
      </c>
      <c r="F4" s="7" t="n">
        <f aca="false">D4*E4</f>
        <v>1710000</v>
      </c>
      <c r="G4" s="5" t="s">
        <v>31</v>
      </c>
    </row>
    <row r="5" customFormat="false" ht="15" hidden="false" customHeight="false" outlineLevel="0" collapsed="false">
      <c r="A5" s="5" t="s">
        <v>38</v>
      </c>
      <c r="B5" s="5" t="s">
        <v>39</v>
      </c>
      <c r="C5" s="5" t="s">
        <v>34</v>
      </c>
      <c r="D5" s="6" t="n">
        <v>4200</v>
      </c>
      <c r="E5" s="7" t="n">
        <v>1850</v>
      </c>
      <c r="F5" s="7" t="n">
        <f aca="false">D5*E5</f>
        <v>7770000</v>
      </c>
      <c r="G5" s="5" t="s">
        <v>40</v>
      </c>
    </row>
    <row r="6" customFormat="false" ht="15" hidden="false" customHeight="false" outlineLevel="0" collapsed="false">
      <c r="A6" s="5" t="s">
        <v>41</v>
      </c>
      <c r="B6" s="5" t="s">
        <v>42</v>
      </c>
      <c r="C6" s="5" t="s">
        <v>43</v>
      </c>
      <c r="D6" s="6" t="n">
        <v>1850</v>
      </c>
      <c r="E6" s="7" t="n">
        <v>4250</v>
      </c>
      <c r="F6" s="7" t="n">
        <f aca="false">D6*E6</f>
        <v>7862500</v>
      </c>
      <c r="G6" s="5" t="s">
        <v>40</v>
      </c>
    </row>
    <row r="7" customFormat="false" ht="15" hidden="false" customHeight="false" outlineLevel="0" collapsed="false">
      <c r="A7" s="5" t="s">
        <v>44</v>
      </c>
      <c r="B7" s="5" t="s">
        <v>45</v>
      </c>
      <c r="C7" s="5" t="s">
        <v>34</v>
      </c>
      <c r="D7" s="6" t="n">
        <v>3650</v>
      </c>
      <c r="E7" s="7" t="n">
        <v>2100</v>
      </c>
      <c r="F7" s="7" t="n">
        <f aca="false">D7*E7</f>
        <v>7665000</v>
      </c>
      <c r="G7" s="5" t="s">
        <v>40</v>
      </c>
    </row>
    <row r="8" customFormat="false" ht="15" hidden="false" customHeight="false" outlineLevel="0" collapsed="false">
      <c r="A8" s="5" t="s">
        <v>46</v>
      </c>
      <c r="B8" s="5" t="s">
        <v>47</v>
      </c>
      <c r="C8" s="5" t="s">
        <v>34</v>
      </c>
      <c r="D8" s="6" t="n">
        <v>5400</v>
      </c>
      <c r="E8" s="7" t="n">
        <v>2450</v>
      </c>
      <c r="F8" s="7" t="n">
        <f aca="false">D8*E8</f>
        <v>13230000</v>
      </c>
      <c r="G8" s="5" t="s">
        <v>40</v>
      </c>
    </row>
    <row r="9" customFormat="false" ht="15" hidden="false" customHeight="false" outlineLevel="0" collapsed="false">
      <c r="A9" s="5" t="s">
        <v>48</v>
      </c>
      <c r="B9" s="5" t="s">
        <v>49</v>
      </c>
      <c r="C9" s="5" t="s">
        <v>43</v>
      </c>
      <c r="D9" s="6" t="n">
        <v>480</v>
      </c>
      <c r="E9" s="7" t="n">
        <v>12500</v>
      </c>
      <c r="F9" s="7" t="n">
        <f aca="false">D9*E9</f>
        <v>6000000</v>
      </c>
      <c r="G9" s="5" t="s">
        <v>50</v>
      </c>
    </row>
    <row r="10" customFormat="false" ht="15" hidden="false" customHeight="false" outlineLevel="0" collapsed="false">
      <c r="A10" s="5" t="s">
        <v>51</v>
      </c>
      <c r="B10" s="5" t="s">
        <v>52</v>
      </c>
      <c r="C10" s="5" t="s">
        <v>53</v>
      </c>
      <c r="D10" s="6" t="n">
        <v>18500</v>
      </c>
      <c r="E10" s="7" t="n">
        <v>1850</v>
      </c>
      <c r="F10" s="7" t="n">
        <f aca="false">D10*E10</f>
        <v>34225000</v>
      </c>
      <c r="G10" s="5" t="s">
        <v>50</v>
      </c>
    </row>
    <row r="11" customFormat="false" ht="15" hidden="false" customHeight="false" outlineLevel="0" collapsed="false">
      <c r="A11" s="5" t="s">
        <v>54</v>
      </c>
      <c r="B11" s="5" t="s">
        <v>55</v>
      </c>
      <c r="C11" s="5" t="s">
        <v>53</v>
      </c>
      <c r="D11" s="6" t="n">
        <v>6200</v>
      </c>
      <c r="E11" s="7" t="n">
        <v>1250</v>
      </c>
      <c r="F11" s="7" t="n">
        <f aca="false">D11*E11</f>
        <v>7750000</v>
      </c>
      <c r="G11" s="5" t="s">
        <v>50</v>
      </c>
    </row>
    <row r="12" customFormat="false" ht="15" hidden="false" customHeight="false" outlineLevel="0" collapsed="false">
      <c r="A12" s="5" t="s">
        <v>56</v>
      </c>
      <c r="B12" s="5" t="s">
        <v>57</v>
      </c>
      <c r="C12" s="5" t="s">
        <v>30</v>
      </c>
      <c r="D12" s="6" t="n">
        <v>1</v>
      </c>
      <c r="E12" s="7" t="n">
        <v>14250000</v>
      </c>
      <c r="F12" s="7" t="n">
        <f aca="false">D12*E12</f>
        <v>14250000</v>
      </c>
      <c r="G12" s="5" t="s">
        <v>58</v>
      </c>
    </row>
    <row r="13" customFormat="false" ht="15" hidden="false" customHeight="false" outlineLevel="0" collapsed="false">
      <c r="A13" s="5" t="s">
        <v>59</v>
      </c>
      <c r="B13" s="5" t="s">
        <v>60</v>
      </c>
      <c r="C13" s="5" t="s">
        <v>30</v>
      </c>
      <c r="D13" s="6" t="n">
        <v>1</v>
      </c>
      <c r="E13" s="7" t="n">
        <v>8650000</v>
      </c>
      <c r="F13" s="7" t="n">
        <f aca="false">D13*E13</f>
        <v>8650000</v>
      </c>
      <c r="G13" s="5" t="s">
        <v>58</v>
      </c>
    </row>
    <row r="14" customFormat="false" ht="15" hidden="false" customHeight="false" outlineLevel="0" collapsed="false">
      <c r="A14" s="5" t="s">
        <v>61</v>
      </c>
      <c r="B14" s="5" t="s">
        <v>62</v>
      </c>
      <c r="C14" s="5" t="s">
        <v>30</v>
      </c>
      <c r="D14" s="6" t="n">
        <v>1</v>
      </c>
      <c r="E14" s="7" t="n">
        <v>3850000</v>
      </c>
      <c r="F14" s="7" t="n">
        <f aca="false">D14*E14</f>
        <v>3850000</v>
      </c>
      <c r="G14" s="5" t="s">
        <v>58</v>
      </c>
    </row>
    <row r="15" customFormat="false" ht="15" hidden="false" customHeight="false" outlineLevel="0" collapsed="false">
      <c r="A15" s="5" t="s">
        <v>63</v>
      </c>
      <c r="B15" s="5" t="s">
        <v>64</v>
      </c>
      <c r="C15" s="5" t="s">
        <v>30</v>
      </c>
      <c r="D15" s="6" t="n">
        <v>1</v>
      </c>
      <c r="E15" s="7" t="n">
        <v>2940000</v>
      </c>
      <c r="F15" s="7" t="n">
        <f aca="false">D15*E15</f>
        <v>2940000</v>
      </c>
      <c r="G15" s="5" t="s">
        <v>58</v>
      </c>
    </row>
    <row r="16" customFormat="false" ht="15" hidden="false" customHeight="false" outlineLevel="0" collapsed="false">
      <c r="A16" s="5" t="s">
        <v>65</v>
      </c>
      <c r="B16" s="5" t="s">
        <v>66</v>
      </c>
      <c r="C16" s="5" t="s">
        <v>30</v>
      </c>
      <c r="D16" s="6" t="n">
        <v>1</v>
      </c>
      <c r="E16" s="7" t="n">
        <v>1685000</v>
      </c>
      <c r="F16" s="7" t="n">
        <f aca="false">D16*E16</f>
        <v>1685000</v>
      </c>
      <c r="G16" s="5" t="s">
        <v>58</v>
      </c>
    </row>
    <row r="17" customFormat="false" ht="15" hidden="false" customHeight="false" outlineLevel="0" collapsed="false">
      <c r="A17" s="5" t="s">
        <v>67</v>
      </c>
      <c r="B17" s="5" t="s">
        <v>68</v>
      </c>
      <c r="C17" s="5" t="s">
        <v>69</v>
      </c>
      <c r="D17" s="6" t="n">
        <v>8</v>
      </c>
      <c r="E17" s="7" t="n">
        <v>1450000</v>
      </c>
      <c r="F17" s="7" t="n">
        <f aca="false">D17*E17</f>
        <v>11600000</v>
      </c>
      <c r="G17" s="5" t="s">
        <v>58</v>
      </c>
    </row>
    <row r="18" customFormat="false" ht="15" hidden="false" customHeight="false" outlineLevel="0" collapsed="false">
      <c r="A18" s="5" t="s">
        <v>70</v>
      </c>
      <c r="B18" s="5" t="s">
        <v>71</v>
      </c>
      <c r="C18" s="5" t="s">
        <v>53</v>
      </c>
      <c r="D18" s="6" t="n">
        <v>24500</v>
      </c>
      <c r="E18" s="7" t="n">
        <v>165</v>
      </c>
      <c r="F18" s="7" t="n">
        <f aca="false">D18*E18</f>
        <v>4042500</v>
      </c>
      <c r="G18" s="5" t="s">
        <v>72</v>
      </c>
    </row>
    <row r="19" customFormat="false" ht="15" hidden="false" customHeight="false" outlineLevel="0" collapsed="false">
      <c r="A19" s="5" t="s">
        <v>73</v>
      </c>
      <c r="B19" s="5" t="s">
        <v>74</v>
      </c>
      <c r="C19" s="5" t="s">
        <v>53</v>
      </c>
      <c r="D19" s="6" t="n">
        <v>2400</v>
      </c>
      <c r="E19" s="7" t="n">
        <v>850</v>
      </c>
      <c r="F19" s="7" t="n">
        <f aca="false">D19*E19</f>
        <v>2040000</v>
      </c>
      <c r="G19" s="5" t="s">
        <v>72</v>
      </c>
    </row>
    <row r="20" customFormat="false" ht="15" hidden="false" customHeight="false" outlineLevel="0" collapsed="false">
      <c r="A20" s="5" t="s">
        <v>75</v>
      </c>
      <c r="B20" s="5" t="s">
        <v>76</v>
      </c>
      <c r="C20" s="5" t="s">
        <v>53</v>
      </c>
      <c r="D20" s="6" t="n">
        <v>18200</v>
      </c>
      <c r="E20" s="7" t="n">
        <v>220</v>
      </c>
      <c r="F20" s="7" t="n">
        <f aca="false">D20*E20</f>
        <v>4004000</v>
      </c>
      <c r="G20" s="5" t="s">
        <v>72</v>
      </c>
    </row>
    <row r="21" customFormat="false" ht="15" hidden="false" customHeight="false" outlineLevel="0" collapsed="false">
      <c r="A21" s="5" t="s">
        <v>77</v>
      </c>
      <c r="B21" s="5" t="s">
        <v>78</v>
      </c>
      <c r="C21" s="5" t="s">
        <v>53</v>
      </c>
      <c r="D21" s="6" t="n">
        <v>22800</v>
      </c>
      <c r="E21" s="7" t="n">
        <v>145</v>
      </c>
      <c r="F21" s="7" t="n">
        <f aca="false">D21*E21</f>
        <v>3306000</v>
      </c>
      <c r="G21" s="5" t="s">
        <v>72</v>
      </c>
    </row>
    <row r="22" customFormat="false" ht="15" hidden="false" customHeight="false" outlineLevel="0" collapsed="false">
      <c r="A22" s="5" t="s">
        <v>79</v>
      </c>
      <c r="B22" s="5" t="s">
        <v>80</v>
      </c>
      <c r="C22" s="5" t="s">
        <v>53</v>
      </c>
      <c r="D22" s="6" t="n">
        <v>78500</v>
      </c>
      <c r="E22" s="7" t="n">
        <v>28</v>
      </c>
      <c r="F22" s="7" t="n">
        <f aca="false">D22*E22</f>
        <v>2198000</v>
      </c>
      <c r="G22" s="5" t="s">
        <v>72</v>
      </c>
    </row>
    <row r="23" customFormat="false" ht="15" hidden="false" customHeight="false" outlineLevel="0" collapsed="false">
      <c r="A23" s="5" t="s">
        <v>81</v>
      </c>
      <c r="B23" s="5" t="s">
        <v>82</v>
      </c>
      <c r="C23" s="5" t="s">
        <v>30</v>
      </c>
      <c r="D23" s="6" t="n">
        <v>1</v>
      </c>
      <c r="E23" s="7" t="n">
        <v>2150000</v>
      </c>
      <c r="F23" s="7" t="n">
        <f aca="false">D23*E23</f>
        <v>2150000</v>
      </c>
      <c r="G23" s="5" t="s">
        <v>83</v>
      </c>
    </row>
    <row r="24" customFormat="false" ht="15" hidden="false" customHeight="false" outlineLevel="0" collapsed="false">
      <c r="A24" s="5" t="s">
        <v>84</v>
      </c>
      <c r="B24" s="5" t="s">
        <v>85</v>
      </c>
      <c r="C24" s="5" t="s">
        <v>53</v>
      </c>
      <c r="D24" s="6" t="n">
        <v>28500</v>
      </c>
      <c r="E24" s="7" t="n">
        <v>1450</v>
      </c>
      <c r="F24" s="7" t="n">
        <f aca="false">D24*E24</f>
        <v>41325000</v>
      </c>
      <c r="G24" s="5" t="s">
        <v>83</v>
      </c>
    </row>
    <row r="25" customFormat="false" ht="15" hidden="false" customHeight="false" outlineLevel="0" collapsed="false">
      <c r="A25" s="5" t="s">
        <v>86</v>
      </c>
      <c r="B25" s="5" t="s">
        <v>87</v>
      </c>
      <c r="C25" s="5" t="s">
        <v>37</v>
      </c>
      <c r="D25" s="6" t="n">
        <v>24</v>
      </c>
      <c r="E25" s="7" t="n">
        <v>285000</v>
      </c>
      <c r="F25" s="7" t="n">
        <f aca="false">D25*E25</f>
        <v>6840000</v>
      </c>
      <c r="G25" s="5" t="s">
        <v>88</v>
      </c>
    </row>
    <row r="26" customFormat="false" ht="15" hidden="false" customHeight="false" outlineLevel="0" collapsed="false">
      <c r="A26" s="5" t="s">
        <v>89</v>
      </c>
      <c r="B26" s="5" t="s">
        <v>90</v>
      </c>
      <c r="C26" s="5" t="s">
        <v>30</v>
      </c>
      <c r="D26" s="6" t="n">
        <v>1</v>
      </c>
      <c r="E26" s="7" t="n">
        <v>1250000</v>
      </c>
      <c r="F26" s="7" t="n">
        <f aca="false">D26*E26</f>
        <v>1250000</v>
      </c>
      <c r="G26" s="5" t="s">
        <v>88</v>
      </c>
    </row>
    <row r="27" customFormat="false" ht="15" hidden="false" customHeight="false" outlineLevel="0" collapsed="false">
      <c r="A27" s="8" t="s">
        <v>91</v>
      </c>
      <c r="B27" s="8"/>
      <c r="C27" s="8"/>
      <c r="D27" s="8"/>
      <c r="E27" s="8"/>
      <c r="F27" s="9" t="n">
        <f aca="false">SUM(F2:F26)</f>
        <v>199005500</v>
      </c>
    </row>
  </sheetData>
  <mergeCells count="1">
    <mergeCell ref="A27:E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  <col collapsed="false" customWidth="true" hidden="false" outlineLevel="0" max="3" min="3" style="0" width="16"/>
  </cols>
  <sheetData>
    <row r="1" customFormat="false" ht="17.35" hidden="false" customHeight="false" outlineLevel="0" collapsed="false">
      <c r="A1" s="10" t="s">
        <v>92</v>
      </c>
      <c r="B1" s="10"/>
      <c r="C1" s="10"/>
    </row>
    <row r="3" customFormat="false" ht="15" hidden="false" customHeight="false" outlineLevel="0" collapsed="false">
      <c r="A3" s="11" t="s">
        <v>27</v>
      </c>
      <c r="B3" s="11" t="s">
        <v>93</v>
      </c>
      <c r="C3" s="11" t="s">
        <v>94</v>
      </c>
    </row>
    <row r="4" customFormat="false" ht="15" hidden="false" customHeight="false" outlineLevel="0" collapsed="false">
      <c r="A4" s="0" t="s">
        <v>31</v>
      </c>
      <c r="B4" s="12" t="n">
        <f aca="false">SUMIF(BOQ_Items!G:G,"Site Works",BOQ_Items!F:F)</f>
        <v>4372500</v>
      </c>
      <c r="C4" s="13" t="n">
        <f aca="false">B4/$B$11</f>
        <v>0.0219717545494974</v>
      </c>
    </row>
    <row r="5" customFormat="false" ht="15" hidden="false" customHeight="false" outlineLevel="0" collapsed="false">
      <c r="A5" s="0" t="s">
        <v>40</v>
      </c>
      <c r="B5" s="12" t="n">
        <f aca="false">SUMIF(BOQ_Items!G:G,"Concrete &amp; Foundation",BOQ_Items!F:F)</f>
        <v>36527500</v>
      </c>
      <c r="C5" s="13" t="n">
        <f aca="false">B5/$B$11</f>
        <v>0.183550203386339</v>
      </c>
    </row>
    <row r="6" customFormat="false" ht="15" hidden="false" customHeight="false" outlineLevel="0" collapsed="false">
      <c r="A6" s="0" t="s">
        <v>50</v>
      </c>
      <c r="B6" s="12" t="n">
        <f aca="false">SUMIF(BOQ_Items!G:G,"Structural &amp; Facade",BOQ_Items!F:F)</f>
        <v>47975000</v>
      </c>
      <c r="C6" s="13" t="n">
        <f aca="false">B6/$B$11</f>
        <v>0.241073739168013</v>
      </c>
    </row>
    <row r="7" customFormat="false" ht="15" hidden="false" customHeight="false" outlineLevel="0" collapsed="false">
      <c r="A7" s="0" t="s">
        <v>58</v>
      </c>
      <c r="B7" s="12" t="n">
        <f aca="false">SUMIF(BOQ_Items!G:G,"MEP",BOQ_Items!F:F)</f>
        <v>42975000</v>
      </c>
      <c r="C7" s="13" t="n">
        <f aca="false">B7/$B$11</f>
        <v>0.215948805435026</v>
      </c>
    </row>
    <row r="8" customFormat="false" ht="15" hidden="false" customHeight="false" outlineLevel="0" collapsed="false">
      <c r="A8" s="0" t="s">
        <v>72</v>
      </c>
      <c r="B8" s="12" t="n">
        <f aca="false">SUMIF(BOQ_Items!G:G,"Finishes",BOQ_Items!F:F)</f>
        <v>15590500</v>
      </c>
      <c r="C8" s="13" t="n">
        <f aca="false">B8/$B$11</f>
        <v>0.0783420558728276</v>
      </c>
    </row>
    <row r="9" customFormat="false" ht="15" hidden="false" customHeight="false" outlineLevel="0" collapsed="false">
      <c r="A9" s="0" t="s">
        <v>83</v>
      </c>
      <c r="B9" s="12" t="n">
        <f aca="false">SUMIF(BOQ_Items!G:G,"External Works",BOQ_Items!F:F)</f>
        <v>43475000</v>
      </c>
      <c r="C9" s="13" t="n">
        <f aca="false">B9/$B$11</f>
        <v>0.218461298808324</v>
      </c>
    </row>
    <row r="10" customFormat="false" ht="15" hidden="false" customHeight="false" outlineLevel="0" collapsed="false">
      <c r="A10" s="0" t="s">
        <v>88</v>
      </c>
      <c r="B10" s="12" t="n">
        <f aca="false">SUMIF(BOQ_Items!G:G,"Preliminaries",BOQ_Items!F:F)</f>
        <v>8090000</v>
      </c>
      <c r="C10" s="13" t="n">
        <f aca="false">B10/$B$11</f>
        <v>0.0406521427799734</v>
      </c>
    </row>
    <row r="11" customFormat="false" ht="15" hidden="false" customHeight="false" outlineLevel="0" collapsed="false">
      <c r="A11" s="2" t="s">
        <v>95</v>
      </c>
      <c r="B11" s="9" t="n">
        <f aca="false">SUM(B4:B10)</f>
        <v>199005500</v>
      </c>
      <c r="C11" s="14" t="n">
        <v>1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2026-04-29T17:37:54Z</dcterms:created>
  <dc:creator>openpyxl</dc:creator>
  <dc:description/>
  <dc:language>en-US</dc:language>
  <cp:lastModifiedBy/>
  <dcterms:modified xsi:type="dcterms:W3CDTF">2026-04-29T17:37:54Z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